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52" windowHeight="11055" tabRatio="756"/>
  </bookViews>
  <sheets>
    <sheet name="在册班组" sheetId="1" r:id="rId1"/>
    <sheet name="注销班组" sheetId="2" r:id="rId2"/>
    <sheet name="班组推进者" sheetId="4" r:id="rId3"/>
    <sheet name="在退役项目班组台账" sheetId="6" r:id="rId4"/>
  </sheets>
  <externalReferences>
    <externalReference r:id="rId5"/>
  </externalReferences>
  <definedNames>
    <definedName name="_xlnm._FilterDatabase" localSheetId="0" hidden="1">在册班组!$A$2:$AB$56</definedName>
    <definedName name="_xlnm._FilterDatabase" localSheetId="2" hidden="1">班组推进者!$A$2:$J$56</definedName>
    <definedName name="_xlnm._FilterDatabase" localSheetId="3" hidden="1">在退役项目班组台账!$A$2:$AB$5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<sst xmlns="http://schemas.openxmlformats.org/spreadsheetml/2006/main" count="1579" uniqueCount="503">
  <si>
    <t>序号</t>
  </si>
  <si>
    <t>班组注册编号</t>
  </si>
  <si>
    <t>班组注册时间</t>
  </si>
  <si>
    <t>单位</t>
  </si>
  <si>
    <t>部门</t>
  </si>
  <si>
    <t>分包单位</t>
  </si>
  <si>
    <t>分包负责人和联系电话</t>
  </si>
  <si>
    <t>班组名称</t>
  </si>
  <si>
    <t>班长姓名和联系电话</t>
  </si>
  <si>
    <t>部门/队推进者</t>
  </si>
  <si>
    <t>监督人员</t>
  </si>
  <si>
    <t>工程公司推进者</t>
  </si>
  <si>
    <t>工程公司推进队办</t>
  </si>
  <si>
    <t>当前状态</t>
  </si>
  <si>
    <t>班组人数</t>
  </si>
  <si>
    <t>班组成员信息</t>
  </si>
  <si>
    <t>姓名</t>
  </si>
  <si>
    <t>性别</t>
  </si>
  <si>
    <t>身份证号码</t>
  </si>
  <si>
    <t>年龄</t>
  </si>
  <si>
    <t>工种</t>
  </si>
  <si>
    <t>职务</t>
  </si>
  <si>
    <t>用工形式
（自有/非自有）</t>
  </si>
  <si>
    <t>进入班组时间</t>
  </si>
  <si>
    <t>离开班组时间</t>
  </si>
  <si>
    <t>状态
（在职/离职）</t>
  </si>
  <si>
    <t>备注</t>
  </si>
  <si>
    <t>是否重复
（姓名）</t>
  </si>
  <si>
    <t>是否重复
（sfz）</t>
  </si>
  <si>
    <t>BLE-NCES-002</t>
  </si>
  <si>
    <t>中建二局</t>
  </si>
  <si>
    <t>核岛一队</t>
  </si>
  <si>
    <t>茂名建筑集团第三有限公司（专业分包）</t>
  </si>
  <si>
    <t>杨亚堂15013858223</t>
  </si>
  <si>
    <t>高春芳机械班</t>
  </si>
  <si>
    <t>高春芳/18377073085</t>
  </si>
  <si>
    <t>在册</t>
  </si>
  <si>
    <t>高春芳</t>
  </si>
  <si>
    <t>女</t>
  </si>
  <si>
    <t>452822197205034829</t>
  </si>
  <si>
    <t>杂工</t>
  </si>
  <si>
    <t>班组长</t>
  </si>
  <si>
    <t>非自有</t>
  </si>
  <si>
    <t>BLE-NCES-003</t>
  </si>
  <si>
    <t>搅拌站</t>
  </si>
  <si>
    <t>中南国际科技发展(深圳)有限公司</t>
  </si>
  <si>
    <t>/</t>
  </si>
  <si>
    <t>陈爱荣综合班</t>
  </si>
  <si>
    <t>陈爱荣/18877000991</t>
  </si>
  <si>
    <t>陈爱荣</t>
  </si>
  <si>
    <t>男</t>
  </si>
  <si>
    <t>432930197312013515</t>
  </si>
  <si>
    <t>驾驶员</t>
  </si>
  <si>
    <t>自有</t>
  </si>
  <si>
    <t>在职</t>
  </si>
  <si>
    <t>作业负责人</t>
  </si>
  <si>
    <t>BLE-NCES-004</t>
  </si>
  <si>
    <t>杨广雄操作班</t>
  </si>
  <si>
    <t>杨广雄/19077008920</t>
  </si>
  <si>
    <t>杨广雄</t>
  </si>
  <si>
    <t>450602198408225111</t>
  </si>
  <si>
    <t>机械操作工</t>
  </si>
  <si>
    <t>2025.7.16</t>
  </si>
  <si>
    <t>BLE-NCES-005</t>
  </si>
  <si>
    <t>水电队</t>
  </si>
  <si>
    <t>中国建筑第二工程局有限公司</t>
  </si>
  <si>
    <t>吴再胜综合班</t>
  </si>
  <si>
    <t>吴再胜/13907709136</t>
  </si>
  <si>
    <t>吴再胜</t>
  </si>
  <si>
    <t>450602197109074814</t>
  </si>
  <si>
    <t>管工</t>
  </si>
  <si>
    <t>BLE-NCES-006</t>
  </si>
  <si>
    <t>四川金泰荣和建筑劳务有限公司</t>
  </si>
  <si>
    <t>李传志18877002381</t>
  </si>
  <si>
    <t>吴运华装修班</t>
  </si>
  <si>
    <t>吴运华/18577058334</t>
  </si>
  <si>
    <t>吴运华</t>
  </si>
  <si>
    <t>500234200006239573</t>
  </si>
  <si>
    <t>清洁工</t>
  </si>
  <si>
    <t>BLE-NCES-009</t>
  </si>
  <si>
    <t xml:space="preserve"> 中建二局</t>
  </si>
  <si>
    <t>周小红装修班</t>
  </si>
  <si>
    <t>周小红/13877017861</t>
  </si>
  <si>
    <t>周小红</t>
  </si>
  <si>
    <t>452122197903042721</t>
  </si>
  <si>
    <t>装修工</t>
  </si>
  <si>
    <t>2024.12.20</t>
  </si>
  <si>
    <t>BLE-NCES-010</t>
  </si>
  <si>
    <t>钢结构队</t>
  </si>
  <si>
    <t>任炫烨焊工班</t>
  </si>
  <si>
    <t>任炫烨/15938968955</t>
  </si>
  <si>
    <t>任炫烨</t>
  </si>
  <si>
    <r>
      <rPr>
        <sz val="11"/>
        <color rgb="FF000000"/>
        <rFont val="Times New Roman"/>
        <charset val="0"/>
      </rPr>
      <t>410482199910281731</t>
    </r>
  </si>
  <si>
    <t>焊工</t>
  </si>
  <si>
    <t>2025.5.6</t>
  </si>
  <si>
    <t>BLE-NCES-012</t>
  </si>
  <si>
    <t>王家纯13828002135</t>
  </si>
  <si>
    <t>柏世尧木工班</t>
  </si>
  <si>
    <t>柏世尧/19132127818</t>
  </si>
  <si>
    <t>柏世尧</t>
  </si>
  <si>
    <t>512224196510237376</t>
  </si>
  <si>
    <t>综合管理</t>
  </si>
  <si>
    <t>BLE-NCES-013</t>
  </si>
  <si>
    <t>机械队</t>
  </si>
  <si>
    <t>四川德鑫隆建筑劳务有限公司</t>
  </si>
  <si>
    <t>田小刚13828016316</t>
  </si>
  <si>
    <t>田小刚塔吊班</t>
  </si>
  <si>
    <t>田小刚</t>
  </si>
  <si>
    <t>510902198206021535</t>
  </si>
  <si>
    <t>塔吊指挥</t>
  </si>
  <si>
    <t>BLE-NCES-014</t>
  </si>
  <si>
    <t>孙俊良/13828741588</t>
  </si>
  <si>
    <t>夏凤勇架工班</t>
  </si>
  <si>
    <t>夏凤勇/18314471196（注销）</t>
  </si>
  <si>
    <t>夏凤勇</t>
  </si>
  <si>
    <t>532122198612130611</t>
  </si>
  <si>
    <t>架子工</t>
  </si>
  <si>
    <t>BLE-NCES-015</t>
  </si>
  <si>
    <t>孙俊良13828741588</t>
  </si>
  <si>
    <t>樊共辉架工班</t>
  </si>
  <si>
    <t>樊共辉/18877015163（注销）</t>
  </si>
  <si>
    <t>樊共辉</t>
  </si>
  <si>
    <t>432524197706097417</t>
  </si>
  <si>
    <t>2025.4.29</t>
  </si>
  <si>
    <t>BLE-NCES-016</t>
  </si>
  <si>
    <t>罗春才钢筋班</t>
  </si>
  <si>
    <t>罗春才/18077013236</t>
  </si>
  <si>
    <t>罗春才</t>
  </si>
  <si>
    <t>452428198408062716</t>
  </si>
  <si>
    <t>钢筋工</t>
  </si>
  <si>
    <t>2025.9.3</t>
  </si>
  <si>
    <t>BLE-NCES-017</t>
  </si>
  <si>
    <t>综合车间</t>
  </si>
  <si>
    <t>广州盛通建筑劳务有限公司</t>
  </si>
  <si>
    <t>陈历权/13517538609</t>
  </si>
  <si>
    <t>陈历坤木工班</t>
  </si>
  <si>
    <t>陈历坤/18877009352</t>
  </si>
  <si>
    <t>陈历坤</t>
  </si>
  <si>
    <t>450324199202162211</t>
  </si>
  <si>
    <t>木工</t>
  </si>
  <si>
    <t>BLE-NCES-019</t>
  </si>
  <si>
    <t>张剑富/13750368918</t>
  </si>
  <si>
    <t>王明清钢筋班</t>
  </si>
  <si>
    <t>王明清/13288771566</t>
  </si>
  <si>
    <t>王明清</t>
  </si>
  <si>
    <t>350426198002155519</t>
  </si>
  <si>
    <t>2025.10.14</t>
  </si>
  <si>
    <t>BLE-NCES-020</t>
  </si>
  <si>
    <t>李贤军混凝土班</t>
  </si>
  <si>
    <t>李贤军/13617709120</t>
  </si>
  <si>
    <t>李贤军</t>
  </si>
  <si>
    <t>512222197306108739</t>
  </si>
  <si>
    <t>混凝土工</t>
  </si>
  <si>
    <t>2025.5.8</t>
  </si>
  <si>
    <t>BLE-NCES-021</t>
  </si>
  <si>
    <t>河南诚云建筑劳务有限公司</t>
  </si>
  <si>
    <t>张海云/13828019069</t>
  </si>
  <si>
    <t>刘强埋件班</t>
  </si>
  <si>
    <t>刘强/18434797612</t>
  </si>
  <si>
    <t>刘强</t>
  </si>
  <si>
    <t>142601197707292857</t>
  </si>
  <si>
    <t>铆工</t>
  </si>
  <si>
    <t>BLE-NCES-022</t>
  </si>
  <si>
    <t>广西三卓建筑劳务有限公司（劳务分包）</t>
  </si>
  <si>
    <t>钟光荣/13877247210</t>
  </si>
  <si>
    <t>杨霜霜铆工班</t>
  </si>
  <si>
    <t>杨霜霜/18208423203</t>
  </si>
  <si>
    <t>杨霜霜</t>
  </si>
  <si>
    <t>522130199004281216</t>
  </si>
  <si>
    <t>BLE-NCES-023</t>
  </si>
  <si>
    <t>北京万古恒信科技有限公司（劳务分包）</t>
  </si>
  <si>
    <t>王增军机械班</t>
  </si>
  <si>
    <t>王增军/13878188986</t>
  </si>
  <si>
    <t>王增军</t>
  </si>
  <si>
    <t>410928196907156134</t>
  </si>
  <si>
    <t>司机</t>
  </si>
  <si>
    <t>BLE-NCES-024</t>
  </si>
  <si>
    <t>河南核源建筑工程有限公司（劳务分包）</t>
  </si>
  <si>
    <t>刘金骜/1857897783</t>
  </si>
  <si>
    <t>王昌松铆工班</t>
  </si>
  <si>
    <t>王昌松/18530667338</t>
  </si>
  <si>
    <t>王昌松</t>
  </si>
  <si>
    <t>411324198901105311</t>
  </si>
  <si>
    <t>BLE-NCES-025</t>
  </si>
  <si>
    <t>深圳市帕玛泰克斯涂料有限公司</t>
  </si>
  <si>
    <t>陆亚春/18675070070</t>
  </si>
  <si>
    <t>郑创国油漆班</t>
  </si>
  <si>
    <t>郑创国/18476678793</t>
  </si>
  <si>
    <t>郑创国</t>
  </si>
  <si>
    <t>440804198910021116</t>
  </si>
  <si>
    <t>BLE-NCES-026</t>
  </si>
  <si>
    <t>测量队</t>
  </si>
  <si>
    <t>李发强测量班</t>
  </si>
  <si>
    <t>李发强/18882509059</t>
  </si>
  <si>
    <t>李发强</t>
  </si>
  <si>
    <t>511023199704272490</t>
  </si>
  <si>
    <t>测量员</t>
  </si>
  <si>
    <t>BLE-NCES-027</t>
  </si>
  <si>
    <t>四川博瑞恒升建设工程有限公司（劳务分包）</t>
  </si>
  <si>
    <t>李俊寰/15882955233</t>
  </si>
  <si>
    <t>张良钢筋班</t>
  </si>
  <si>
    <t>张良/13929061803</t>
  </si>
  <si>
    <t>张良</t>
  </si>
  <si>
    <t>513022197410141934</t>
  </si>
  <si>
    <t>BLE-NCES-028</t>
  </si>
  <si>
    <t>李涛木工班</t>
  </si>
  <si>
    <t>李涛/18977848984（注销）</t>
  </si>
  <si>
    <t>李涛</t>
  </si>
  <si>
    <t>622827198410050957</t>
  </si>
  <si>
    <t>BLE-NCES-029</t>
  </si>
  <si>
    <t>嘉兴珅汇建筑安装工程有限公司</t>
  </si>
  <si>
    <t>牟道俊13906836538</t>
  </si>
  <si>
    <t>冯海录钢筋班</t>
  </si>
  <si>
    <t>冯海录/15296593282</t>
  </si>
  <si>
    <t>冯海录</t>
  </si>
  <si>
    <t>450621198207102333</t>
  </si>
  <si>
    <t>2025.8.20</t>
  </si>
  <si>
    <t>BLE-NCES-030</t>
  </si>
  <si>
    <t>蓝碧情钢筋班</t>
  </si>
  <si>
    <t>蓝碧情/13828019204</t>
  </si>
  <si>
    <t>蓝碧情</t>
  </si>
  <si>
    <t>452730198708276810</t>
  </si>
  <si>
    <t>2025.8.28</t>
  </si>
  <si>
    <t>BLE-NCES-031</t>
  </si>
  <si>
    <t>余应康混凝土班</t>
  </si>
  <si>
    <t>余应康/13759070538</t>
  </si>
  <si>
    <t>余应康</t>
  </si>
  <si>
    <t>532425197503201610</t>
  </si>
  <si>
    <t>2025.5.19</t>
  </si>
  <si>
    <t>BLE-NCES-034</t>
  </si>
  <si>
    <t>张强木工班</t>
  </si>
  <si>
    <t>张强/13678239050</t>
  </si>
  <si>
    <t>张强</t>
  </si>
  <si>
    <t>510722197602032375</t>
  </si>
  <si>
    <t>2025.8.31</t>
  </si>
  <si>
    <t>BLE-NCES-035</t>
  </si>
  <si>
    <t>新国线集团</t>
  </si>
  <si>
    <t>罗时元13885656233</t>
  </si>
  <si>
    <t>罗时元运输班</t>
  </si>
  <si>
    <t>罗时元</t>
  </si>
  <si>
    <t>522222198501261233</t>
  </si>
  <si>
    <t>BLE-NCES-036</t>
  </si>
  <si>
    <t>谢红均钢筋班</t>
  </si>
  <si>
    <t>谢红均/13252331612</t>
  </si>
  <si>
    <t>谢红均</t>
  </si>
  <si>
    <t>510723199005293898</t>
  </si>
  <si>
    <t>BLE-NCES-039</t>
  </si>
  <si>
    <t>杨勇发钢筋班</t>
  </si>
  <si>
    <t>杨勇发/18608035528（离职）</t>
  </si>
  <si>
    <t>杨勇发</t>
  </si>
  <si>
    <t>51108119821025331X</t>
  </si>
  <si>
    <t>离职</t>
  </si>
  <si>
    <t>BLE-NCES-040</t>
  </si>
  <si>
    <t>李蕾架工班</t>
  </si>
  <si>
    <t>李蕾/19191112992</t>
  </si>
  <si>
    <t>李蕾</t>
  </si>
  <si>
    <t>61240119860102413X</t>
  </si>
  <si>
    <t>2025.7.2</t>
  </si>
  <si>
    <t>BLE-NCES-041</t>
  </si>
  <si>
    <t>李刚铆工班</t>
  </si>
  <si>
    <t>李刚/13978041991</t>
  </si>
  <si>
    <t>李刚</t>
  </si>
  <si>
    <t>450204198103231036</t>
  </si>
  <si>
    <t>2025.8.14</t>
  </si>
  <si>
    <t>BLE-NCES-042</t>
  </si>
  <si>
    <t>罗长文木工班</t>
  </si>
  <si>
    <t>罗长文/14793899760</t>
  </si>
  <si>
    <t>罗长文</t>
  </si>
  <si>
    <t>452223198705101512</t>
  </si>
  <si>
    <t>BLE-NCES-043</t>
  </si>
  <si>
    <t>唐小强混凝土班</t>
  </si>
  <si>
    <t>唐小强/18140477517</t>
  </si>
  <si>
    <t>唐小强</t>
  </si>
  <si>
    <t>511023196808300392</t>
  </si>
  <si>
    <t>BLE-NCES-045</t>
  </si>
  <si>
    <t>杨勇起重班</t>
  </si>
  <si>
    <t>杨勇/13691981249</t>
  </si>
  <si>
    <t>杨勇</t>
  </si>
  <si>
    <t>511023198301222670</t>
  </si>
  <si>
    <t>其他起重工</t>
  </si>
  <si>
    <t>2025.9.229</t>
  </si>
  <si>
    <t>BLE-NCES-046</t>
  </si>
  <si>
    <t>王家纯/13828002135</t>
  </si>
  <si>
    <t>佟桂华清扫班</t>
  </si>
  <si>
    <t>佟桂华/15777965285</t>
  </si>
  <si>
    <t>佟桂华</t>
  </si>
  <si>
    <t>220281197404141822</t>
  </si>
  <si>
    <t>清扫工</t>
  </si>
  <si>
    <t>BLE-NCES-047</t>
  </si>
  <si>
    <t>杨永昌铆工班</t>
  </si>
  <si>
    <t>杨永昌/13703808985</t>
  </si>
  <si>
    <t>杨永昌</t>
  </si>
  <si>
    <t>412827198812110511</t>
  </si>
  <si>
    <t>钳工/铆工</t>
  </si>
  <si>
    <t>BLE-NCES-048</t>
  </si>
  <si>
    <t>北京东方雨虹防水工程有限公司</t>
  </si>
  <si>
    <t>李立峰18526540106</t>
  </si>
  <si>
    <t>谢亮防水班</t>
  </si>
  <si>
    <t>谢亮17749655585</t>
  </si>
  <si>
    <t>谢亮</t>
  </si>
  <si>
    <t>430422200204280259</t>
  </si>
  <si>
    <t>防水工</t>
  </si>
  <si>
    <t>2026.12.14</t>
  </si>
  <si>
    <t>BLE-NCES-049</t>
  </si>
  <si>
    <t>何良坤焊工班</t>
  </si>
  <si>
    <t>何良坤/13125169665</t>
  </si>
  <si>
    <t>何良坤</t>
  </si>
  <si>
    <t>420117199009271635</t>
  </si>
  <si>
    <t>35</t>
  </si>
  <si>
    <t>BLE-NCES-050</t>
  </si>
  <si>
    <t>苗中正焊工班</t>
  </si>
  <si>
    <t>苗中正/18838682948</t>
  </si>
  <si>
    <t>苗中正</t>
  </si>
  <si>
    <t>411329200210075311</t>
  </si>
  <si>
    <t>23</t>
  </si>
  <si>
    <t>BLE-NCES-051</t>
  </si>
  <si>
    <t>何天斌木工班</t>
  </si>
  <si>
    <t>何天斌/18509164987</t>
  </si>
  <si>
    <t>何天斌</t>
  </si>
  <si>
    <t>612328197809262815</t>
  </si>
  <si>
    <t>47</t>
  </si>
  <si>
    <t>2025.12.31</t>
  </si>
  <si>
    <t>BLE-NCES-052</t>
  </si>
  <si>
    <t>工程部</t>
  </si>
  <si>
    <t>钟绍林木工班</t>
  </si>
  <si>
    <t>钟绍林/13219597969</t>
  </si>
  <si>
    <t>钟绍林</t>
  </si>
  <si>
    <t>511027196804047698</t>
  </si>
  <si>
    <t>58</t>
  </si>
  <si>
    <t>2026.01.15</t>
  </si>
  <si>
    <t>BLE-NCES-053</t>
  </si>
  <si>
    <t>BOP队</t>
  </si>
  <si>
    <t>邱亮钢筋班</t>
  </si>
  <si>
    <t>邱亮/17760169020</t>
  </si>
  <si>
    <t>邱亮</t>
  </si>
  <si>
    <t>511011197611147610</t>
  </si>
  <si>
    <t>49</t>
  </si>
  <si>
    <t>2026.03.05</t>
  </si>
  <si>
    <t>BLE-NCES-054</t>
  </si>
  <si>
    <t>何晓强钢筋班</t>
  </si>
  <si>
    <t>何晓强/19038202350</t>
  </si>
  <si>
    <t>何晓强</t>
  </si>
  <si>
    <t>51302219950927113X</t>
  </si>
  <si>
    <t>30</t>
  </si>
  <si>
    <t>2026.03.02</t>
  </si>
  <si>
    <t>BLE-NCES-055</t>
  </si>
  <si>
    <t>张剑富 /13750368918</t>
  </si>
  <si>
    <t>吴源钢筋班</t>
  </si>
  <si>
    <t>吴源/15160221516</t>
  </si>
  <si>
    <t>吴源</t>
  </si>
  <si>
    <t>350321198601233331</t>
  </si>
  <si>
    <t>BLE-NCES-056</t>
  </si>
  <si>
    <t>刘小波钢筋班</t>
  </si>
  <si>
    <t>刘小波/13888747399（注销）</t>
  </si>
  <si>
    <t>刘小波</t>
  </si>
  <si>
    <t>532201198208151211</t>
  </si>
  <si>
    <t>2026.03.09</t>
  </si>
  <si>
    <t>BLE-NCES-057</t>
  </si>
  <si>
    <t>谭传明铆工班</t>
  </si>
  <si>
    <t>谭传明/19289089849</t>
  </si>
  <si>
    <t>谭传明</t>
  </si>
  <si>
    <t>512222197203048737</t>
  </si>
  <si>
    <t>BLE-NCES-058</t>
  </si>
  <si>
    <t>李传志/18877002381</t>
  </si>
  <si>
    <t>杨元帅混凝土班</t>
  </si>
  <si>
    <t>杨元帅/13828010148</t>
  </si>
  <si>
    <t>杨元帅</t>
  </si>
  <si>
    <t>532927197308190573</t>
  </si>
  <si>
    <t>BLE-NCES-059</t>
  </si>
  <si>
    <t>鲍标综合班</t>
  </si>
  <si>
    <t>鲍标/18915312333</t>
  </si>
  <si>
    <t>鲍标</t>
  </si>
  <si>
    <t>320381198610027039</t>
  </si>
  <si>
    <t>BLE-NCES-060</t>
  </si>
  <si>
    <t>王贤兵钢筋班</t>
  </si>
  <si>
    <t>王贤兵/15602623037</t>
  </si>
  <si>
    <t>王贤兵</t>
  </si>
  <si>
    <t>430726198909264816</t>
  </si>
  <si>
    <t>BLE-NCES-061</t>
  </si>
  <si>
    <t>冉启伟钢筋班</t>
  </si>
  <si>
    <t>冉启伟/18881871005</t>
  </si>
  <si>
    <t>冉启伟</t>
  </si>
  <si>
    <t>513022197505181111</t>
  </si>
  <si>
    <t>BLE-NCES-062</t>
  </si>
  <si>
    <t>覃昔约钢筋班</t>
  </si>
  <si>
    <t>覃昔约/15897366123</t>
  </si>
  <si>
    <t>魏垚</t>
  </si>
  <si>
    <t>甘伟平</t>
  </si>
  <si>
    <t>覃昔约</t>
  </si>
  <si>
    <t>432427196902255514</t>
  </si>
  <si>
    <t>57</t>
  </si>
  <si>
    <t>BLE-NCES-063</t>
  </si>
  <si>
    <t>四川鑫传旺和建筑劳务有限公司</t>
  </si>
  <si>
    <t>邓远华木工班</t>
  </si>
  <si>
    <t>邓远华/18777044831</t>
  </si>
  <si>
    <t>段龙飞</t>
  </si>
  <si>
    <t>邓远华</t>
  </si>
  <si>
    <t>BLE-NCES-064</t>
  </si>
  <si>
    <t>杜恒江钢筋班</t>
  </si>
  <si>
    <t>杜恒江</t>
  </si>
  <si>
    <t>王奋泽</t>
  </si>
  <si>
    <t>宁以源</t>
  </si>
  <si>
    <t>所属分包</t>
  </si>
  <si>
    <t>责任安全员</t>
  </si>
  <si>
    <t>班组分级</t>
  </si>
  <si>
    <t>评分（基础分85）</t>
  </si>
  <si>
    <t>BLE-NCES-032</t>
  </si>
  <si>
    <t>王宇钢筋班</t>
  </si>
  <si>
    <t>王宇/18577811333</t>
  </si>
  <si>
    <t>李伟康</t>
  </si>
  <si>
    <t>蔡毅豪</t>
  </si>
  <si>
    <t>注销</t>
  </si>
  <si>
    <t>Ⅰ类</t>
  </si>
  <si>
    <t>王宇</t>
  </si>
  <si>
    <t>429005196808138316</t>
  </si>
  <si>
    <t>（2026.03.10注销）</t>
  </si>
  <si>
    <t>BLE-NCES-038</t>
  </si>
  <si>
    <t>谭传明木工班</t>
  </si>
  <si>
    <t>桂杨</t>
  </si>
  <si>
    <t>注销时间2026.03.09</t>
  </si>
  <si>
    <t>BLE-NCES-044</t>
  </si>
  <si>
    <t>广东名城建设有限公司</t>
  </si>
  <si>
    <t>陈历权13517538609</t>
  </si>
  <si>
    <t>李可安装班</t>
  </si>
  <si>
    <t>李可13793768840</t>
  </si>
  <si>
    <t>张晨雨</t>
  </si>
  <si>
    <t>李可</t>
  </si>
  <si>
    <t>370829199104182517</t>
  </si>
  <si>
    <t>BLE-NCES-037</t>
  </si>
  <si>
    <t>邹新春木工班</t>
  </si>
  <si>
    <t>邹新春/19973890989</t>
  </si>
  <si>
    <t>黄龙骄</t>
  </si>
  <si>
    <t>杨兆龙</t>
  </si>
  <si>
    <t>邹新春</t>
  </si>
  <si>
    <t>432503197912177694</t>
  </si>
  <si>
    <t>2025.11.5</t>
  </si>
  <si>
    <t>班组推进者台账</t>
  </si>
  <si>
    <t>曲殿英、周雷</t>
  </si>
  <si>
    <t>果机吃沙</t>
  </si>
  <si>
    <t>梁冬杰、欧育顺</t>
  </si>
  <si>
    <t>唐星民</t>
  </si>
  <si>
    <t>吴祖基、韦伴锋</t>
  </si>
  <si>
    <t>魏成志</t>
  </si>
  <si>
    <t>张翔、段龙飞</t>
  </si>
  <si>
    <t>刘友三</t>
  </si>
  <si>
    <t>李斌、蔡彪</t>
  </si>
  <si>
    <t>龚天顺</t>
  </si>
  <si>
    <t>杨勇发/18608035528</t>
  </si>
  <si>
    <t>李慧武、程伟</t>
  </si>
  <si>
    <t>谢博鑫</t>
  </si>
  <si>
    <t>刘源、李波</t>
  </si>
  <si>
    <t>吕育祥</t>
  </si>
  <si>
    <t>汪宇雄、魏智广</t>
  </si>
  <si>
    <t>赵鹏飞</t>
  </si>
  <si>
    <t>赵强强、徐官保</t>
  </si>
  <si>
    <t>吴坤鹏、李世忠</t>
  </si>
  <si>
    <t>甘昌锦</t>
  </si>
  <si>
    <t>范永宾</t>
  </si>
  <si>
    <t>夏凤勇/18314471196</t>
  </si>
  <si>
    <t>张富</t>
  </si>
  <si>
    <t>冉术林</t>
  </si>
  <si>
    <t>谭小飞</t>
  </si>
  <si>
    <t>莫锦华</t>
  </si>
  <si>
    <t>朱其星</t>
  </si>
  <si>
    <t>陈柱旭</t>
  </si>
  <si>
    <t>齐张燕</t>
  </si>
  <si>
    <t>罗荣鑫</t>
  </si>
  <si>
    <t>罗福耀</t>
  </si>
  <si>
    <t>欧育顺</t>
  </si>
  <si>
    <t>樊共辉/18877015163</t>
  </si>
  <si>
    <t>李胜朝</t>
  </si>
  <si>
    <t>张剑华</t>
  </si>
  <si>
    <t>李煊民</t>
  </si>
  <si>
    <t>张久风</t>
  </si>
  <si>
    <t>李修</t>
  </si>
  <si>
    <t>朱凡康</t>
  </si>
  <si>
    <t>李涛/18977848984</t>
  </si>
  <si>
    <t>罗园杰</t>
  </si>
  <si>
    <t>蓝竫熙</t>
  </si>
  <si>
    <t>冯海浪</t>
  </si>
  <si>
    <t>谭咏杰</t>
  </si>
  <si>
    <t>何贵华</t>
  </si>
  <si>
    <t>徐官保</t>
  </si>
  <si>
    <t>宁凯</t>
  </si>
  <si>
    <t>李波</t>
  </si>
  <si>
    <t>吴玮彬</t>
  </si>
  <si>
    <t>杨建平</t>
  </si>
  <si>
    <t>尉良玉</t>
  </si>
  <si>
    <t>刘小波/13888747399</t>
  </si>
  <si>
    <t>韩雨泽</t>
  </si>
  <si>
    <t>吴存联</t>
  </si>
  <si>
    <t>黄治朝</t>
  </si>
  <si>
    <t>莫晓东</t>
  </si>
  <si>
    <t>四川博瑞恒升建设工程有限公司</t>
  </si>
  <si>
    <t>BLE-NCES-001</t>
  </si>
  <si>
    <t>王支泽</t>
  </si>
  <si>
    <t>上海益江建设工程有限公司</t>
  </si>
  <si>
    <t>姚定胜/19812492786</t>
  </si>
  <si>
    <t>叶仁学综合班</t>
  </si>
  <si>
    <t>叶仁学/15380508611</t>
  </si>
  <si>
    <t>叶仁学</t>
  </si>
  <si>
    <t>320923198805260913</t>
  </si>
  <si>
    <t>技术员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</si>
</sst>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  <numFmt numFmtId="177" formatCode="0_ "/>
    <numFmt numFmtId="178" formatCode="yyyy/m/d;@"/>
  </numFmts>
  <fonts count="33">
    <font>
      <sz val="12"/>
      <name val="宋体"/>
      <charset val="134"/>
    </font>
    <font>
      <b/>
      <sz val="14"/>
      <name val="宋体"/>
      <charset val="134"/>
    </font>
    <font>
      <sz val="11"/>
      <name val="宋体"/>
      <charset val="134"/>
    </font>
    <font>
      <sz val="14"/>
      <name val="宋体"/>
      <charset val="134"/>
    </font>
    <font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b/>
      <sz val="20"/>
      <name val="宋体"/>
      <charset val="134"/>
    </font>
    <font>
      <sz val="11"/>
      <color indexed="8"/>
      <name val="宋体"/>
      <charset val="134"/>
    </font>
    <font>
      <sz val="12"/>
      <color indexed="8"/>
      <name val="宋体"/>
      <charset val="134"/>
    </font>
    <font>
      <sz val="10"/>
      <color theme="1"/>
      <name val="宋体"/>
      <charset val="134"/>
    </font>
    <font>
      <sz val="11"/>
      <color rgb="FF000000"/>
      <name val="Times New Roman"/>
      <charset val="0"/>
    </font>
    <font>
      <sz val="12"/>
      <color rgb="FF000000"/>
      <name val="宋体"/>
      <charset val="134"/>
    </font>
    <font>
      <sz val="12"/>
      <color theme="1"/>
      <name val="宋体"/>
      <charset val="134"/>
    </font>
    <font>
      <u/>
      <sz val="11"/>
      <color indexed="12"/>
      <name val="宋体"/>
      <charset val="134"/>
    </font>
    <font>
      <u/>
      <sz val="11"/>
      <color rgb="FF800080"/>
      <name val="宋体"/>
      <charset val="134"/>
    </font>
    <font>
      <sz val="11"/>
      <color indexed="10"/>
      <name val="宋体"/>
      <charset val="134"/>
    </font>
    <font>
      <b/>
      <sz val="18"/>
      <color rgb="FF44546A"/>
      <name val="宋体"/>
      <charset val="134"/>
    </font>
    <font>
      <i/>
      <sz val="11"/>
      <color indexed="23"/>
      <name val="宋体"/>
      <charset val="134"/>
    </font>
    <font>
      <b/>
      <sz val="15"/>
      <color rgb="FF44546A"/>
      <name val="宋体"/>
      <charset val="134"/>
    </font>
    <font>
      <b/>
      <sz val="13"/>
      <color rgb="FF44546A"/>
      <name val="宋体"/>
      <charset val="134"/>
    </font>
    <font>
      <b/>
      <sz val="11"/>
      <color rgb="FF44546A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indexed="9"/>
      <name val="宋体"/>
      <charset val="134"/>
    </font>
    <font>
      <sz val="11"/>
      <color rgb="FFFA7D00"/>
      <name val="宋体"/>
      <charset val="134"/>
    </font>
    <font>
      <b/>
      <sz val="11"/>
      <color indexed="8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indexed="9"/>
      <name val="宋体"/>
      <charset val="134"/>
    </font>
    <font>
      <sz val="11"/>
      <color indexed="8"/>
      <name val="Arial"/>
      <charset val="0"/>
    </font>
    <font>
      <sz val="10"/>
      <name val="Arial"/>
      <charset val="0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A9D08E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rgb="FF5B9BD5"/>
      </bottom>
      <diagonal/>
    </border>
    <border>
      <left/>
      <right/>
      <top/>
      <bottom style="medium">
        <color rgb="FFACCCEA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5B9BD5"/>
      </top>
      <bottom style="double">
        <color rgb="FF5B9BD5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6" borderId="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9" applyNumberFormat="0" applyAlignment="0" applyProtection="0">
      <alignment vertical="center"/>
    </xf>
    <xf numFmtId="0" fontId="22" fillId="8" borderId="10" applyNumberFormat="0" applyAlignment="0" applyProtection="0">
      <alignment vertical="center"/>
    </xf>
    <xf numFmtId="0" fontId="23" fillId="8" borderId="9" applyNumberFormat="0" applyAlignment="0" applyProtection="0">
      <alignment vertical="center"/>
    </xf>
    <xf numFmtId="0" fontId="24" fillId="9" borderId="11" applyNumberFormat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176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31" fillId="0" borderId="0">
      <protection locked="0"/>
    </xf>
    <xf numFmtId="0" fontId="32" fillId="0" borderId="0"/>
    <xf numFmtId="0" fontId="5" fillId="0" borderId="0">
      <alignment vertical="center"/>
    </xf>
  </cellStyleXfs>
  <cellXfs count="69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>
      <alignment vertical="center"/>
    </xf>
    <xf numFmtId="0" fontId="2" fillId="0" borderId="0" xfId="0" applyFont="1" applyFill="1">
      <alignment vertical="center"/>
    </xf>
    <xf numFmtId="177" fontId="0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49" fontId="2" fillId="0" borderId="0" xfId="0" applyNumberFormat="1" applyFont="1" applyFill="1" applyAlignment="1">
      <alignment horizontal="center" vertical="center"/>
    </xf>
    <xf numFmtId="178" fontId="2" fillId="0" borderId="0" xfId="0" applyNumberFormat="1" applyFont="1" applyFill="1" applyAlignment="1">
      <alignment horizontal="center" vertical="center"/>
    </xf>
    <xf numFmtId="0" fontId="0" fillId="0" borderId="0" xfId="0" applyFill="1">
      <alignment vertical="center"/>
    </xf>
    <xf numFmtId="177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178" fontId="1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 applyProtection="1">
      <alignment horizontal="center" vertical="center"/>
      <protection locked="0"/>
    </xf>
    <xf numFmtId="14" fontId="0" fillId="0" borderId="1" xfId="0" applyNumberForma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2" xfId="0" applyNumberFormat="1" applyFont="1" applyFill="1" applyBorder="1" applyAlignment="1">
      <alignment horizontal="center" vertical="center" wrapText="1"/>
    </xf>
    <xf numFmtId="14" fontId="2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14" fontId="7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 wrapText="1" shrinkToFit="1"/>
    </xf>
    <xf numFmtId="0" fontId="0" fillId="0" borderId="1" xfId="0" applyNumberFormat="1" applyFill="1" applyBorder="1" applyAlignment="1">
      <alignment horizontal="center" vertical="center" wrapText="1" shrinkToFit="1"/>
    </xf>
    <xf numFmtId="14" fontId="5" fillId="0" borderId="1" xfId="0" applyNumberFormat="1" applyFont="1" applyFill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177" fontId="3" fillId="0" borderId="2" xfId="0" applyNumberFormat="1" applyFont="1" applyFill="1" applyBorder="1" applyAlignment="1">
      <alignment horizontal="center" vertical="center"/>
    </xf>
    <xf numFmtId="14" fontId="2" fillId="0" borderId="2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14" fontId="2" fillId="0" borderId="2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14" fontId="2" fillId="0" borderId="5" xfId="0" applyNumberFormat="1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49" fontId="2" fillId="0" borderId="2" xfId="0" applyNumberFormat="1" applyFont="1" applyFill="1" applyBorder="1" applyAlignment="1">
      <alignment horizontal="center" vertical="center"/>
    </xf>
    <xf numFmtId="178" fontId="1" fillId="0" borderId="2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10" fillId="0" borderId="1" xfId="0" applyNumberFormat="1" applyFont="1" applyFill="1" applyBorder="1" applyAlignment="1" applyProtection="1">
      <alignment horizontal="center" vertical="center" wrapText="1"/>
    </xf>
    <xf numFmtId="49" fontId="10" fillId="0" borderId="1" xfId="0" applyNumberFormat="1" applyFont="1" applyFill="1" applyBorder="1" applyAlignment="1" applyProtection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49" fontId="0" fillId="0" borderId="1" xfId="0" applyNumberFormat="1" applyFill="1" applyBorder="1" applyAlignment="1">
      <alignment horizontal="center" vertical="center" wrapText="1" shrinkToFit="1"/>
    </xf>
    <xf numFmtId="49" fontId="4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12" fillId="0" borderId="1" xfId="0" applyNumberFormat="1" applyFont="1" applyFill="1" applyBorder="1" applyAlignment="1">
      <alignment horizontal="center" vertical="center" wrapText="1" shrinkToFit="1"/>
    </xf>
    <xf numFmtId="49" fontId="2" fillId="0" borderId="5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2" fillId="0" borderId="1" xfId="0" applyFont="1" applyFill="1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  <xf numFmtId="0" fontId="11" fillId="0" borderId="1" xfId="0" applyFont="1" applyFill="1" applyBorder="1" applyAlignment="1" quotePrefix="1">
      <alignment horizontal="center" vertical="center" wrapText="1"/>
    </xf>
    <xf numFmtId="0" fontId="4" fillId="0" borderId="1" xfId="0" applyFont="1" applyFill="1" applyBorder="1" applyAlignment="1" applyProtection="1" quotePrefix="1">
      <alignment horizontal="center" vertical="center"/>
      <protection locked="0"/>
    </xf>
    <xf numFmtId="14" fontId="2" fillId="0" borderId="1" xfId="0" applyNumberFormat="1" applyFont="1" applyFill="1" applyBorder="1" applyAlignment="1" quotePrefix="1">
      <alignment horizontal="center" vertical="center"/>
    </xf>
    <xf numFmtId="14" fontId="2" fillId="0" borderId="5" xfId="0" applyNumberFormat="1" applyFont="1" applyFill="1" applyBorder="1" applyAlignment="1" quotePrefix="1">
      <alignment horizontal="center" vertical="center"/>
    </xf>
    <xf numFmtId="177" fontId="3" fillId="0" borderId="1" xfId="0" applyNumberFormat="1" applyFont="1" applyFill="1" applyBorder="1" applyAlignment="1" quotePrefix="1">
      <alignment horizontal="center"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8" xfId="49"/>
    <cellStyle name="常规 18 7" xfId="50"/>
    <cellStyle name="常规 39 2 2" xfId="51"/>
    <cellStyle name="常规_Sheet1_1" xfId="52"/>
    <cellStyle name="常规_Sheet1_职工人数周报2011" xfId="53"/>
    <cellStyle name="常规 3" xfId="54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0D0D0D"/>
      <color rgb="00FFFFFF"/>
      <color rgb="0000B0F0"/>
      <color rgb="00000000"/>
      <color rgb="0092D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38646;&#24230;&#20808;&#29983;\AppData\Local\Temp\MicrosoftEdgeDownloads\604c5bd2-8895-466a-9592-5a57ba47c515\&#29677;&#32452;&#20449;&#24687;&#34920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班组信息"/>
    </sheetNames>
    <sheetDataSet>
      <sheetData sheetId="0">
        <row r="2">
          <cell r="D2" t="str">
            <v>班组名称</v>
          </cell>
        </row>
        <row r="2">
          <cell r="L2" t="str">
            <v>班组人数</v>
          </cell>
        </row>
        <row r="3">
          <cell r="D3" t="str">
            <v>蓝碧情钢筋班</v>
          </cell>
        </row>
        <row r="3">
          <cell r="L3">
            <v>54</v>
          </cell>
        </row>
        <row r="4">
          <cell r="D4" t="str">
            <v>罗春才钢筋班</v>
          </cell>
        </row>
        <row r="4">
          <cell r="L4">
            <v>50</v>
          </cell>
        </row>
        <row r="5">
          <cell r="D5" t="str">
            <v>陈历坤木工班</v>
          </cell>
        </row>
        <row r="5">
          <cell r="L5">
            <v>40</v>
          </cell>
        </row>
        <row r="6">
          <cell r="D6" t="str">
            <v>张良钢筋班</v>
          </cell>
        </row>
        <row r="6">
          <cell r="L6">
            <v>40</v>
          </cell>
        </row>
        <row r="7">
          <cell r="D7" t="str">
            <v>王昌松铆工班</v>
          </cell>
        </row>
        <row r="7">
          <cell r="L7">
            <v>38</v>
          </cell>
        </row>
        <row r="8">
          <cell r="D8" t="str">
            <v>王明清钢筋班</v>
          </cell>
        </row>
        <row r="8">
          <cell r="L8">
            <v>38</v>
          </cell>
        </row>
        <row r="9">
          <cell r="D9" t="str">
            <v>刘强埋件班</v>
          </cell>
        </row>
        <row r="9">
          <cell r="L9">
            <v>38</v>
          </cell>
        </row>
        <row r="10">
          <cell r="D10" t="str">
            <v>何晓强钢筋班</v>
          </cell>
        </row>
        <row r="10">
          <cell r="L10">
            <v>37</v>
          </cell>
        </row>
        <row r="11">
          <cell r="D11" t="str">
            <v>李刚铆工班</v>
          </cell>
        </row>
        <row r="11">
          <cell r="L11">
            <v>37</v>
          </cell>
        </row>
        <row r="12">
          <cell r="D12" t="str">
            <v>刘小波钢筋班</v>
          </cell>
        </row>
        <row r="12">
          <cell r="L12">
            <v>35</v>
          </cell>
        </row>
        <row r="13">
          <cell r="D13" t="str">
            <v>冯海录钢筋班</v>
          </cell>
        </row>
        <row r="13">
          <cell r="L13">
            <v>35</v>
          </cell>
        </row>
        <row r="14">
          <cell r="D14" t="str">
            <v>田小刚塔吊班</v>
          </cell>
        </row>
        <row r="14">
          <cell r="L14">
            <v>34</v>
          </cell>
        </row>
        <row r="15">
          <cell r="D15" t="str">
            <v>杨永昌铆工班</v>
          </cell>
        </row>
        <row r="15">
          <cell r="L15">
            <v>34</v>
          </cell>
        </row>
        <row r="16">
          <cell r="D16" t="str">
            <v>邱亮钢筋班</v>
          </cell>
        </row>
        <row r="16">
          <cell r="L16">
            <v>33</v>
          </cell>
        </row>
        <row r="17">
          <cell r="D17" t="str">
            <v>谢红均钢筋班</v>
          </cell>
        </row>
        <row r="17">
          <cell r="L17">
            <v>33</v>
          </cell>
        </row>
        <row r="18">
          <cell r="D18" t="str">
            <v>罗长文木工班</v>
          </cell>
        </row>
        <row r="18">
          <cell r="L18">
            <v>33</v>
          </cell>
        </row>
        <row r="19">
          <cell r="D19" t="str">
            <v>樊共辉架工班</v>
          </cell>
        </row>
        <row r="19">
          <cell r="L19">
            <v>33</v>
          </cell>
        </row>
        <row r="20">
          <cell r="D20" t="str">
            <v>冉启伟钢筋班</v>
          </cell>
        </row>
        <row r="20">
          <cell r="L20">
            <v>31</v>
          </cell>
        </row>
        <row r="21">
          <cell r="D21" t="str">
            <v>杨勇发钢筋班</v>
          </cell>
        </row>
        <row r="21">
          <cell r="L21">
            <v>30</v>
          </cell>
        </row>
        <row r="22">
          <cell r="D22" t="str">
            <v>吴源钢筋班</v>
          </cell>
        </row>
        <row r="22">
          <cell r="L22">
            <v>30</v>
          </cell>
        </row>
        <row r="23">
          <cell r="D23" t="str">
            <v>何天斌木工班</v>
          </cell>
        </row>
        <row r="23">
          <cell r="L23">
            <v>30</v>
          </cell>
        </row>
        <row r="24">
          <cell r="D24" t="str">
            <v>王增军机械班</v>
          </cell>
        </row>
        <row r="24">
          <cell r="L24">
            <v>28</v>
          </cell>
        </row>
        <row r="25">
          <cell r="D25" t="str">
            <v>何良坤焊工班</v>
          </cell>
        </row>
        <row r="25">
          <cell r="L25">
            <v>27</v>
          </cell>
        </row>
        <row r="26">
          <cell r="D26" t="str">
            <v>柏世尧木工班</v>
          </cell>
        </row>
        <row r="26">
          <cell r="L26">
            <v>27</v>
          </cell>
        </row>
        <row r="27">
          <cell r="D27" t="str">
            <v>李涛木工班</v>
          </cell>
        </row>
        <row r="27">
          <cell r="L27">
            <v>27</v>
          </cell>
        </row>
        <row r="28">
          <cell r="D28" t="str">
            <v>唐小强混凝土班</v>
          </cell>
        </row>
        <row r="28">
          <cell r="L28">
            <v>27</v>
          </cell>
        </row>
        <row r="29">
          <cell r="D29" t="str">
            <v>高春芳机械班</v>
          </cell>
        </row>
        <row r="29">
          <cell r="L29">
            <v>27</v>
          </cell>
        </row>
        <row r="30">
          <cell r="D30" t="str">
            <v>夏凤勇架工班</v>
          </cell>
        </row>
        <row r="30">
          <cell r="L30">
            <v>27</v>
          </cell>
        </row>
        <row r="31">
          <cell r="D31" t="str">
            <v>杨霜霜铆工班</v>
          </cell>
        </row>
        <row r="31">
          <cell r="L31">
            <v>26</v>
          </cell>
        </row>
        <row r="32">
          <cell r="D32" t="str">
            <v>李贤军混凝土班</v>
          </cell>
        </row>
        <row r="32">
          <cell r="L32">
            <v>26</v>
          </cell>
        </row>
        <row r="33">
          <cell r="D33" t="str">
            <v>李蕾架工班</v>
          </cell>
        </row>
        <row r="33">
          <cell r="L33">
            <v>26</v>
          </cell>
        </row>
        <row r="34">
          <cell r="D34" t="str">
            <v>王贤兵钢筋班</v>
          </cell>
        </row>
        <row r="34">
          <cell r="L34">
            <v>25</v>
          </cell>
        </row>
        <row r="35">
          <cell r="D35" t="str">
            <v>鲍标综合班</v>
          </cell>
        </row>
        <row r="35">
          <cell r="L35">
            <v>24</v>
          </cell>
        </row>
        <row r="36">
          <cell r="D36" t="str">
            <v>陈爱荣综合班</v>
          </cell>
        </row>
        <row r="36">
          <cell r="L36">
            <v>22</v>
          </cell>
        </row>
        <row r="37">
          <cell r="D37" t="str">
            <v>张强木工班</v>
          </cell>
        </row>
        <row r="37">
          <cell r="L37">
            <v>21</v>
          </cell>
        </row>
        <row r="38">
          <cell r="D38" t="str">
            <v>邹新春木工班</v>
          </cell>
        </row>
        <row r="38">
          <cell r="L38">
            <v>20</v>
          </cell>
        </row>
        <row r="39">
          <cell r="D39" t="str">
            <v>杨元帅混凝土班</v>
          </cell>
        </row>
        <row r="39">
          <cell r="L39">
            <v>20</v>
          </cell>
        </row>
        <row r="40">
          <cell r="D40" t="str">
            <v>苏振旺大巴车队</v>
          </cell>
        </row>
        <row r="40">
          <cell r="L40">
            <v>19</v>
          </cell>
        </row>
        <row r="41">
          <cell r="D41" t="str">
            <v>陶晓勇探伤班</v>
          </cell>
        </row>
        <row r="41">
          <cell r="L41">
            <v>18</v>
          </cell>
        </row>
        <row r="42">
          <cell r="D42" t="str">
            <v>保安队</v>
          </cell>
        </row>
        <row r="42">
          <cell r="L42">
            <v>17</v>
          </cell>
        </row>
        <row r="43">
          <cell r="D43" t="str">
            <v>钟绍林木工班</v>
          </cell>
        </row>
        <row r="43">
          <cell r="L43">
            <v>16</v>
          </cell>
        </row>
        <row r="44">
          <cell r="D44" t="str">
            <v>周小红装修班</v>
          </cell>
        </row>
        <row r="44">
          <cell r="L44">
            <v>16</v>
          </cell>
        </row>
        <row r="45">
          <cell r="D45" t="str">
            <v>余应康混凝土班</v>
          </cell>
        </row>
        <row r="45">
          <cell r="L45">
            <v>16</v>
          </cell>
        </row>
        <row r="46">
          <cell r="D46" t="str">
            <v>郑创国油漆班</v>
          </cell>
        </row>
        <row r="46">
          <cell r="L46">
            <v>15</v>
          </cell>
        </row>
        <row r="47">
          <cell r="D47" t="str">
            <v>任炫烨焊工班</v>
          </cell>
        </row>
        <row r="47">
          <cell r="L47">
            <v>15</v>
          </cell>
        </row>
        <row r="48">
          <cell r="D48" t="str">
            <v>李发强测量班</v>
          </cell>
        </row>
        <row r="48">
          <cell r="L48">
            <v>14</v>
          </cell>
        </row>
        <row r="49">
          <cell r="D49" t="str">
            <v>罗时元运输班</v>
          </cell>
        </row>
        <row r="49">
          <cell r="L49">
            <v>13</v>
          </cell>
        </row>
        <row r="50">
          <cell r="D50" t="str">
            <v>杨广雄操作班</v>
          </cell>
        </row>
        <row r="50">
          <cell r="L50">
            <v>12</v>
          </cell>
        </row>
        <row r="51">
          <cell r="D51" t="str">
            <v>吴运华装修班</v>
          </cell>
        </row>
        <row r="51">
          <cell r="L51">
            <v>12</v>
          </cell>
        </row>
        <row r="52">
          <cell r="D52" t="str">
            <v>杨勇起重班</v>
          </cell>
        </row>
        <row r="52">
          <cell r="L52">
            <v>11</v>
          </cell>
        </row>
        <row r="53">
          <cell r="D53" t="str">
            <v>谭传明铆工班</v>
          </cell>
        </row>
        <row r="53">
          <cell r="L53">
            <v>11</v>
          </cell>
        </row>
        <row r="54">
          <cell r="D54" t="str">
            <v>苗中正焊工班</v>
          </cell>
        </row>
        <row r="54">
          <cell r="L54">
            <v>8</v>
          </cell>
        </row>
        <row r="55">
          <cell r="D55" t="str">
            <v>佟桂华清扫班</v>
          </cell>
        </row>
        <row r="55">
          <cell r="L55">
            <v>7</v>
          </cell>
        </row>
        <row r="56">
          <cell r="D56" t="str">
            <v>吴再胜综合班</v>
          </cell>
        </row>
        <row r="56">
          <cell r="L56">
            <v>7</v>
          </cell>
        </row>
        <row r="57">
          <cell r="D57" t="str">
            <v>谢亮防水班</v>
          </cell>
        </row>
        <row r="57">
          <cell r="L57">
            <v>7</v>
          </cell>
        </row>
        <row r="58">
          <cell r="D58" t="str">
            <v>潘召阳广告公司</v>
          </cell>
        </row>
        <row r="58">
          <cell r="L58">
            <v>5</v>
          </cell>
        </row>
        <row r="59">
          <cell r="D59" t="str">
            <v>王晓光物资部</v>
          </cell>
        </row>
        <row r="59">
          <cell r="L59">
            <v>1</v>
          </cell>
        </row>
        <row r="60">
          <cell r="D60" t="str">
            <v>白洁后勤班</v>
          </cell>
        </row>
        <row r="60">
          <cell r="L60">
            <v>1</v>
          </cell>
        </row>
        <row r="61">
          <cell r="D61" t="str">
            <v>骆雄卫钻井班</v>
          </cell>
        </row>
        <row r="61">
          <cell r="L61">
            <v>1</v>
          </cell>
        </row>
        <row r="62">
          <cell r="D62" t="str">
            <v>李可安装班</v>
          </cell>
        </row>
        <row r="62">
          <cell r="L62">
            <v>1</v>
          </cell>
        </row>
        <row r="63">
          <cell r="D63" t="str">
            <v>总经理部</v>
          </cell>
        </row>
        <row r="63">
          <cell r="L63">
            <v>0</v>
          </cell>
        </row>
        <row r="64">
          <cell r="D64" t="str">
            <v>苗中正焊工班</v>
          </cell>
        </row>
        <row r="64">
          <cell r="L64">
            <v>0</v>
          </cell>
        </row>
        <row r="65">
          <cell r="D65" t="str">
            <v>党群工作部</v>
          </cell>
        </row>
        <row r="65">
          <cell r="L65">
            <v>0</v>
          </cell>
        </row>
        <row r="66">
          <cell r="D66" t="str">
            <v>人力资源部</v>
          </cell>
        </row>
        <row r="66">
          <cell r="L66">
            <v>0</v>
          </cell>
        </row>
        <row r="67">
          <cell r="D67" t="str">
            <v>技术部</v>
          </cell>
        </row>
        <row r="67">
          <cell r="L67">
            <v>0</v>
          </cell>
        </row>
        <row r="68">
          <cell r="D68" t="str">
            <v>王明佑BOP队</v>
          </cell>
        </row>
        <row r="68">
          <cell r="L68">
            <v>0</v>
          </cell>
        </row>
        <row r="69">
          <cell r="D69" t="str">
            <v>质控部</v>
          </cell>
        </row>
        <row r="69">
          <cell r="L69">
            <v>0</v>
          </cell>
        </row>
        <row r="70">
          <cell r="D70" t="str">
            <v>质保部</v>
          </cell>
        </row>
        <row r="70">
          <cell r="L70">
            <v>0</v>
          </cell>
        </row>
        <row r="71">
          <cell r="D71" t="str">
            <v>金属试验室</v>
          </cell>
        </row>
        <row r="71">
          <cell r="L71">
            <v>0</v>
          </cell>
        </row>
        <row r="72">
          <cell r="D72" t="str">
            <v>商务部</v>
          </cell>
        </row>
        <row r="72">
          <cell r="L72">
            <v>0</v>
          </cell>
        </row>
        <row r="73">
          <cell r="D73" t="str">
            <v>测量队</v>
          </cell>
        </row>
        <row r="73">
          <cell r="L73">
            <v>0</v>
          </cell>
        </row>
        <row r="74">
          <cell r="D74" t="str">
            <v>工程部</v>
          </cell>
        </row>
        <row r="74">
          <cell r="L74">
            <v>0</v>
          </cell>
        </row>
        <row r="75">
          <cell r="D75" t="str">
            <v>财务部</v>
          </cell>
        </row>
        <row r="75">
          <cell r="L75">
            <v>0</v>
          </cell>
        </row>
        <row r="76">
          <cell r="D76" t="str">
            <v>机械队</v>
          </cell>
        </row>
        <row r="76">
          <cell r="L76">
            <v>0</v>
          </cell>
        </row>
        <row r="77">
          <cell r="D77" t="str">
            <v>综合办公室</v>
          </cell>
        </row>
        <row r="77">
          <cell r="L77">
            <v>0</v>
          </cell>
        </row>
        <row r="78">
          <cell r="D78" t="str">
            <v>刘友三广告公司</v>
          </cell>
        </row>
        <row r="78">
          <cell r="L78">
            <v>0</v>
          </cell>
        </row>
        <row r="79">
          <cell r="D79" t="str">
            <v>刘岳平防水班</v>
          </cell>
        </row>
        <row r="79">
          <cell r="L79">
            <v>0</v>
          </cell>
        </row>
        <row r="80">
          <cell r="D80" t="str">
            <v>林富孝钢筋班</v>
          </cell>
        </row>
        <row r="80">
          <cell r="L80">
            <v>0</v>
          </cell>
        </row>
        <row r="81">
          <cell r="D81" t="str">
            <v>任炫烨综合班</v>
          </cell>
        </row>
        <row r="81">
          <cell r="L81">
            <v>0</v>
          </cell>
        </row>
        <row r="82">
          <cell r="D82" t="str">
            <v>周良友综合班</v>
          </cell>
        </row>
        <row r="82">
          <cell r="L82">
            <v>0</v>
          </cell>
        </row>
        <row r="83">
          <cell r="D83" t="str">
            <v>佟桂华清扫班</v>
          </cell>
        </row>
        <row r="83">
          <cell r="L83">
            <v>0</v>
          </cell>
        </row>
        <row r="84">
          <cell r="D84" t="str">
            <v>毛建雄塔吊班</v>
          </cell>
        </row>
        <row r="84">
          <cell r="L84">
            <v>0</v>
          </cell>
        </row>
        <row r="85">
          <cell r="D85" t="str">
            <v>谭传明木工班</v>
          </cell>
        </row>
        <row r="85">
          <cell r="L85">
            <v>0</v>
          </cell>
        </row>
        <row r="86">
          <cell r="D86" t="str">
            <v>张仕巍装修班</v>
          </cell>
        </row>
        <row r="86">
          <cell r="L86">
            <v>0</v>
          </cell>
        </row>
        <row r="87">
          <cell r="D87" t="str">
            <v>钢结构队</v>
          </cell>
        </row>
        <row r="87">
          <cell r="L87">
            <v>0</v>
          </cell>
        </row>
        <row r="88">
          <cell r="D88" t="str">
            <v>综合施工队</v>
          </cell>
        </row>
        <row r="88">
          <cell r="L88">
            <v>0</v>
          </cell>
        </row>
        <row r="89">
          <cell r="D89" t="str">
            <v>王宇钢筋班</v>
          </cell>
        </row>
        <row r="89">
          <cell r="L89">
            <v>0</v>
          </cell>
        </row>
        <row r="90">
          <cell r="D90" t="str">
            <v>陈海雄装修班</v>
          </cell>
        </row>
        <row r="90">
          <cell r="L90">
            <v>0</v>
          </cell>
        </row>
        <row r="91">
          <cell r="D91" t="str">
            <v>郑朝壬电工班</v>
          </cell>
        </row>
        <row r="91">
          <cell r="L91">
            <v>0</v>
          </cell>
        </row>
        <row r="92">
          <cell r="D92" t="str">
            <v>李贤军李贤军混凝土班</v>
          </cell>
        </row>
        <row r="92">
          <cell r="L92">
            <v>0</v>
          </cell>
        </row>
        <row r="93">
          <cell r="D93" t="str">
            <v>陈历权陈历武班组</v>
          </cell>
        </row>
        <row r="93">
          <cell r="L93">
            <v>0</v>
          </cell>
        </row>
        <row r="94">
          <cell r="D94" t="str">
            <v>何晓强钢筋班</v>
          </cell>
        </row>
        <row r="94">
          <cell r="L9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56"/>
  <sheetViews>
    <sheetView tabSelected="1" view="pageBreakPreview" zoomScale="70" zoomScaleNormal="85" workbookViewId="0">
      <pane ySplit="2" topLeftCell="A3" activePane="bottomLeft" state="frozen"/>
      <selection/>
      <selection pane="bottomLeft" activeCell="H1" sqref="H1:J56"/>
    </sheetView>
  </sheetViews>
  <sheetFormatPr defaultColWidth="9" defaultRowHeight="25" customHeight="1"/>
  <cols>
    <col min="1" max="1" width="9" style="4"/>
    <col min="2" max="2" width="18.8166666666667" style="5" customWidth="1"/>
    <col min="3" max="3" width="19.175" style="5" customWidth="1"/>
    <col min="4" max="4" width="14.1166666666667" style="5" customWidth="1"/>
    <col min="5" max="5" width="14.825" style="5" customWidth="1"/>
    <col min="6" max="6" width="44.35" style="5" customWidth="1"/>
    <col min="7" max="7" width="27.5" style="5" customWidth="1"/>
    <col min="8" max="8" width="27.65" style="5" customWidth="1"/>
    <col min="9" max="9" width="27.2833333333333" style="5" customWidth="1"/>
    <col min="10" max="10" width="19.525" style="5" customWidth="1"/>
    <col min="11" max="11" width="16.35" style="5" customWidth="1"/>
    <col min="12" max="12" width="14.75" style="5" hidden="1" customWidth="1"/>
    <col min="13" max="13" width="14.75" style="6" hidden="1" customWidth="1"/>
    <col min="14" max="14" width="13.175" style="5" customWidth="1"/>
    <col min="15" max="15" width="15.8333333333333" style="5" customWidth="1"/>
    <col min="16" max="17" width="9" style="5"/>
    <col min="18" max="18" width="35.6916666666667" style="5" customWidth="1"/>
    <col min="19" max="19" width="17.6916666666667" style="7" customWidth="1"/>
    <col min="20" max="20" width="17.6916666666667" style="5"/>
    <col min="21" max="21" width="13.4083333333333" style="5" customWidth="1"/>
    <col min="22" max="22" width="22.1166666666667" style="5" customWidth="1"/>
    <col min="23" max="23" width="15.8333333333333" style="5" customWidth="1"/>
    <col min="24" max="24" width="20.2416666666667" style="8" customWidth="1"/>
    <col min="25" max="25" width="17.7666666666667" style="8" customWidth="1"/>
    <col min="26" max="26" width="18.6" style="5" customWidth="1"/>
    <col min="27" max="27" width="15.1666666666667" style="5" customWidth="1"/>
    <col min="28" max="28" width="12.825" style="5" customWidth="1"/>
    <col min="29" max="16384" width="9" style="9"/>
  </cols>
  <sheetData>
    <row r="1" s="1" customFormat="1" ht="45" customHeight="1" spans="1:28">
      <c r="A1" s="10" t="s">
        <v>0</v>
      </c>
      <c r="B1" s="11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47" t="s">
        <v>11</v>
      </c>
      <c r="M1" s="48" t="s">
        <v>12</v>
      </c>
      <c r="N1" s="12" t="s">
        <v>13</v>
      </c>
      <c r="O1" s="12" t="s">
        <v>14</v>
      </c>
      <c r="P1" s="12" t="s">
        <v>15</v>
      </c>
      <c r="Q1" s="12"/>
      <c r="R1" s="12"/>
      <c r="S1" s="19"/>
      <c r="T1" s="12"/>
      <c r="U1" s="12"/>
      <c r="V1" s="12"/>
      <c r="W1" s="12"/>
      <c r="X1" s="20"/>
      <c r="Y1" s="20"/>
      <c r="Z1" s="12"/>
      <c r="AA1" s="12"/>
      <c r="AB1" s="12"/>
    </row>
    <row r="2" s="2" customFormat="1" ht="58" customHeight="1" spans="1:28">
      <c r="A2" s="10"/>
      <c r="B2" s="11"/>
      <c r="C2" s="12"/>
      <c r="D2" s="12"/>
      <c r="E2" s="12"/>
      <c r="F2" s="12"/>
      <c r="G2" s="12"/>
      <c r="H2" s="12"/>
      <c r="I2" s="12"/>
      <c r="J2" s="12"/>
      <c r="K2" s="12"/>
      <c r="L2" s="47"/>
      <c r="M2" s="48"/>
      <c r="N2" s="12"/>
      <c r="O2" s="12"/>
      <c r="P2" s="12" t="s">
        <v>16</v>
      </c>
      <c r="Q2" s="12" t="s">
        <v>17</v>
      </c>
      <c r="R2" s="12" t="s">
        <v>18</v>
      </c>
      <c r="S2" s="19" t="s">
        <v>19</v>
      </c>
      <c r="T2" s="12" t="s">
        <v>20</v>
      </c>
      <c r="U2" s="12" t="s">
        <v>21</v>
      </c>
      <c r="V2" s="11" t="s">
        <v>22</v>
      </c>
      <c r="W2" s="20" t="s">
        <v>23</v>
      </c>
      <c r="X2" s="20" t="s">
        <v>24</v>
      </c>
      <c r="Y2" s="11" t="s">
        <v>25</v>
      </c>
      <c r="Z2" s="12" t="s">
        <v>26</v>
      </c>
      <c r="AA2" s="11" t="s">
        <v>27</v>
      </c>
      <c r="AB2" s="11" t="s">
        <v>28</v>
      </c>
    </row>
    <row r="3" s="41" customFormat="1" ht="37" customHeight="1" spans="1:28">
      <c r="A3" s="42">
        <v>1</v>
      </c>
      <c r="B3" s="31" t="s">
        <v>29</v>
      </c>
      <c r="C3" s="43">
        <v>44012</v>
      </c>
      <c r="D3" s="44" t="s">
        <v>30</v>
      </c>
      <c r="E3" s="45" t="s">
        <v>31</v>
      </c>
      <c r="F3" s="44" t="s">
        <v>32</v>
      </c>
      <c r="G3" s="44" t="s">
        <v>33</v>
      </c>
      <c r="H3" s="44" t="s">
        <v>34</v>
      </c>
      <c r="I3" s="44" t="s">
        <v>35</v>
      </c>
      <c r="J3" s="44" t="str">
        <f>_xlfn.XLOOKUP(H3,班组推进者!D:D,班组推进者!H:H,0)</f>
        <v>莫锦华</v>
      </c>
      <c r="K3" s="44" t="str">
        <f>_xlfn.XLOOKUP(H3,班组推进者!D:D,班组推进者!I:I,0)</f>
        <v>张晨雨</v>
      </c>
      <c r="L3" s="14"/>
      <c r="M3" s="17"/>
      <c r="N3" s="44" t="s">
        <v>36</v>
      </c>
      <c r="O3" s="44">
        <f>_xlfn.XLOOKUP(H:H,[1]班组信息!$D:$D,[1]班组信息!$L:$L,0)</f>
        <v>27</v>
      </c>
      <c r="P3" s="44" t="s">
        <v>37</v>
      </c>
      <c r="Q3" s="44" t="s">
        <v>38</v>
      </c>
      <c r="R3" s="44" t="s">
        <v>39</v>
      </c>
      <c r="S3" s="54">
        <v>54</v>
      </c>
      <c r="T3" s="44" t="s">
        <v>40</v>
      </c>
      <c r="U3" s="44" t="s">
        <v>41</v>
      </c>
      <c r="V3" s="44" t="s">
        <v>42</v>
      </c>
      <c r="W3" s="44">
        <v>42961</v>
      </c>
      <c r="X3" s="55"/>
      <c r="Y3" s="65"/>
      <c r="Z3" s="66"/>
      <c r="AA3" s="65"/>
      <c r="AB3" s="65"/>
    </row>
    <row r="4" s="3" customFormat="1" customHeight="1" spans="1:28">
      <c r="A4" s="13">
        <v>2</v>
      </c>
      <c r="B4" s="14" t="s">
        <v>43</v>
      </c>
      <c r="C4" s="22">
        <v>45261</v>
      </c>
      <c r="D4" s="14" t="s">
        <v>30</v>
      </c>
      <c r="E4" s="14" t="s">
        <v>44</v>
      </c>
      <c r="F4" s="16" t="s">
        <v>45</v>
      </c>
      <c r="G4" s="16" t="s">
        <v>46</v>
      </c>
      <c r="H4" s="16" t="s">
        <v>47</v>
      </c>
      <c r="I4" s="14" t="s">
        <v>48</v>
      </c>
      <c r="J4" s="44" t="str">
        <f>_xlfn.XLOOKUP(H4,班组推进者!D:D,班组推进者!H:H,0)</f>
        <v>汪宇雄、魏智广</v>
      </c>
      <c r="K4" s="44" t="str">
        <f>_xlfn.XLOOKUP(H4,班组推进者!D:D,班组推进者!I:I,0)</f>
        <v>赵鹏飞</v>
      </c>
      <c r="L4" s="14"/>
      <c r="M4" s="17"/>
      <c r="N4" s="14" t="s">
        <v>36</v>
      </c>
      <c r="O4" s="44">
        <f>_xlfn.XLOOKUP(H:H,[1]班组信息!$D:$D,[1]班组信息!$L:$L,0)</f>
        <v>22</v>
      </c>
      <c r="P4" s="14" t="s">
        <v>49</v>
      </c>
      <c r="Q4" s="14" t="s">
        <v>50</v>
      </c>
      <c r="R4" s="14" t="s">
        <v>51</v>
      </c>
      <c r="S4" s="21">
        <v>52</v>
      </c>
      <c r="T4" s="14" t="s">
        <v>52</v>
      </c>
      <c r="U4" s="14" t="s">
        <v>41</v>
      </c>
      <c r="V4" s="14" t="s">
        <v>53</v>
      </c>
      <c r="W4" s="14">
        <v>42663</v>
      </c>
      <c r="X4" s="22"/>
      <c r="Y4" s="14" t="s">
        <v>54</v>
      </c>
      <c r="Z4" s="14" t="s">
        <v>55</v>
      </c>
      <c r="AA4" s="14"/>
      <c r="AB4" s="14"/>
    </row>
    <row r="5" s="3" customFormat="1" customHeight="1" spans="1:28">
      <c r="A5" s="42">
        <v>3</v>
      </c>
      <c r="B5" s="14" t="s">
        <v>56</v>
      </c>
      <c r="C5" s="15">
        <v>45916</v>
      </c>
      <c r="D5" s="14" t="s">
        <v>30</v>
      </c>
      <c r="E5" s="14" t="s">
        <v>44</v>
      </c>
      <c r="F5" s="16" t="s">
        <v>45</v>
      </c>
      <c r="G5" s="16" t="s">
        <v>46</v>
      </c>
      <c r="H5" s="16" t="s">
        <v>57</v>
      </c>
      <c r="I5" s="14" t="s">
        <v>58</v>
      </c>
      <c r="J5" s="44" t="str">
        <f>_xlfn.XLOOKUP(H5,班组推进者!D:D,班组推进者!H:H,0)</f>
        <v>朱其星</v>
      </c>
      <c r="K5" s="44" t="str">
        <f>_xlfn.XLOOKUP(H5,班组推进者!D:D,班组推进者!I:I,0)</f>
        <v>陈柱旭</v>
      </c>
      <c r="L5" s="14"/>
      <c r="M5" s="14"/>
      <c r="N5" s="14" t="s">
        <v>36</v>
      </c>
      <c r="O5" s="44">
        <f>_xlfn.XLOOKUP(H:H,[1]班组信息!$D:$D,[1]班组信息!$L:$L,0)</f>
        <v>12</v>
      </c>
      <c r="P5" s="14" t="s">
        <v>59</v>
      </c>
      <c r="Q5" s="14" t="s">
        <v>50</v>
      </c>
      <c r="R5" s="14" t="s">
        <v>60</v>
      </c>
      <c r="S5" s="21">
        <v>40</v>
      </c>
      <c r="T5" s="14" t="s">
        <v>61</v>
      </c>
      <c r="U5" s="14" t="s">
        <v>41</v>
      </c>
      <c r="V5" s="14" t="s">
        <v>53</v>
      </c>
      <c r="W5" s="14" t="s">
        <v>62</v>
      </c>
      <c r="X5" s="56" t="s">
        <v>46</v>
      </c>
      <c r="Y5" s="56" t="s">
        <v>54</v>
      </c>
      <c r="Z5" s="67" t="s">
        <v>41</v>
      </c>
      <c r="AA5" s="14"/>
      <c r="AB5" s="14"/>
    </row>
    <row r="6" s="3" customFormat="1" customHeight="1" spans="1:28">
      <c r="A6" s="13">
        <v>4</v>
      </c>
      <c r="B6" s="14" t="s">
        <v>63</v>
      </c>
      <c r="C6" s="15">
        <v>45427</v>
      </c>
      <c r="D6" s="14" t="s">
        <v>30</v>
      </c>
      <c r="E6" s="14" t="s">
        <v>64</v>
      </c>
      <c r="F6" s="16" t="s">
        <v>65</v>
      </c>
      <c r="G6" s="16" t="s">
        <v>46</v>
      </c>
      <c r="H6" s="16" t="s">
        <v>66</v>
      </c>
      <c r="I6" s="14" t="s">
        <v>67</v>
      </c>
      <c r="J6" s="44" t="str">
        <f>_xlfn.XLOOKUP(H6,班组推进者!D:D,班组推进者!H:H,0)</f>
        <v>齐张燕</v>
      </c>
      <c r="K6" s="44" t="str">
        <f>_xlfn.XLOOKUP(H6,班组推进者!D:D,班组推进者!I:I,0)</f>
        <v>罗荣鑫</v>
      </c>
      <c r="L6" s="14"/>
      <c r="M6" s="17"/>
      <c r="N6" s="14" t="s">
        <v>36</v>
      </c>
      <c r="O6" s="44">
        <f>_xlfn.XLOOKUP(H:H,[1]班组信息!$D:$D,[1]班组信息!$L:$L,0)</f>
        <v>7</v>
      </c>
      <c r="P6" s="14" t="s">
        <v>68</v>
      </c>
      <c r="Q6" s="14" t="s">
        <v>50</v>
      </c>
      <c r="R6" s="14" t="s">
        <v>69</v>
      </c>
      <c r="S6" s="21">
        <f ca="1">YEAR(TODAY())-MID(R6,7,4)</f>
        <v>55</v>
      </c>
      <c r="T6" s="14" t="s">
        <v>70</v>
      </c>
      <c r="U6" s="14" t="s">
        <v>41</v>
      </c>
      <c r="V6" s="14" t="s">
        <v>53</v>
      </c>
      <c r="W6" s="14">
        <v>42639</v>
      </c>
      <c r="X6" s="22"/>
      <c r="Y6" s="14" t="s">
        <v>54</v>
      </c>
      <c r="Z6" s="14" t="s">
        <v>55</v>
      </c>
      <c r="AA6" s="14"/>
      <c r="AB6" s="14"/>
    </row>
    <row r="7" s="3" customFormat="1" customHeight="1" spans="1:28">
      <c r="A7" s="42">
        <v>5</v>
      </c>
      <c r="B7" s="14" t="s">
        <v>71</v>
      </c>
      <c r="C7" s="15">
        <v>45699</v>
      </c>
      <c r="D7" s="14" t="s">
        <v>30</v>
      </c>
      <c r="E7" s="15" t="s">
        <v>31</v>
      </c>
      <c r="F7" s="14" t="s">
        <v>72</v>
      </c>
      <c r="G7" s="14" t="s">
        <v>73</v>
      </c>
      <c r="H7" s="14" t="s">
        <v>74</v>
      </c>
      <c r="I7" s="14" t="s">
        <v>75</v>
      </c>
      <c r="J7" s="44" t="str">
        <f>_xlfn.XLOOKUP(H7,班组推进者!D:D,班组推进者!H:H,0)</f>
        <v>罗福耀</v>
      </c>
      <c r="K7" s="44" t="str">
        <f>_xlfn.XLOOKUP(H7,班组推进者!D:D,班组推进者!I:I,0)</f>
        <v>杨兆龙</v>
      </c>
      <c r="L7" s="14"/>
      <c r="M7" s="14"/>
      <c r="N7" s="14" t="s">
        <v>36</v>
      </c>
      <c r="O7" s="44">
        <f>_xlfn.XLOOKUP(H:H,[1]班组信息!$D:$D,[1]班组信息!$L:$L,0)</f>
        <v>12</v>
      </c>
      <c r="P7" s="14" t="s">
        <v>76</v>
      </c>
      <c r="Q7" s="14" t="s">
        <v>50</v>
      </c>
      <c r="R7" s="69" t="s">
        <v>77</v>
      </c>
      <c r="S7" s="21">
        <v>24</v>
      </c>
      <c r="T7" s="14" t="s">
        <v>78</v>
      </c>
      <c r="U7" s="14" t="s">
        <v>41</v>
      </c>
      <c r="V7" s="14" t="s">
        <v>42</v>
      </c>
      <c r="W7" s="14">
        <v>45133</v>
      </c>
      <c r="X7" s="17"/>
      <c r="Y7" s="17" t="s">
        <v>54</v>
      </c>
      <c r="Z7" s="14" t="s">
        <v>41</v>
      </c>
      <c r="AA7" s="14"/>
      <c r="AB7" s="14"/>
    </row>
    <row r="8" s="3" customFormat="1" customHeight="1" spans="1:28">
      <c r="A8" s="13">
        <v>6</v>
      </c>
      <c r="B8" s="14" t="s">
        <v>79</v>
      </c>
      <c r="C8" s="15">
        <v>45733</v>
      </c>
      <c r="D8" s="15" t="s">
        <v>80</v>
      </c>
      <c r="E8" s="15" t="s">
        <v>31</v>
      </c>
      <c r="F8" s="32" t="s">
        <v>72</v>
      </c>
      <c r="G8" s="15" t="s">
        <v>73</v>
      </c>
      <c r="H8" s="15" t="s">
        <v>81</v>
      </c>
      <c r="I8" s="15" t="s">
        <v>82</v>
      </c>
      <c r="J8" s="44" t="str">
        <f>_xlfn.XLOOKUP(H8,班组推进者!D:D,班组推进者!H:H,0)</f>
        <v>莫锦华</v>
      </c>
      <c r="K8" s="44" t="str">
        <f>_xlfn.XLOOKUP(H8,班组推进者!D:D,班组推进者!I:I,0)</f>
        <v>罗荣鑫</v>
      </c>
      <c r="L8" s="15"/>
      <c r="M8" s="15"/>
      <c r="N8" s="15" t="s">
        <v>36</v>
      </c>
      <c r="O8" s="44">
        <f>_xlfn.XLOOKUP(H:H,[1]班组信息!$D:$D,[1]班组信息!$L:$L,0)</f>
        <v>16</v>
      </c>
      <c r="P8" s="14" t="s">
        <v>83</v>
      </c>
      <c r="Q8" s="14" t="s">
        <v>38</v>
      </c>
      <c r="R8" s="14" t="s">
        <v>84</v>
      </c>
      <c r="S8" s="21">
        <v>45</v>
      </c>
      <c r="T8" s="14" t="s">
        <v>85</v>
      </c>
      <c r="U8" s="14" t="s">
        <v>41</v>
      </c>
      <c r="V8" s="14" t="s">
        <v>42</v>
      </c>
      <c r="W8" s="14" t="s">
        <v>86</v>
      </c>
      <c r="X8" s="22"/>
      <c r="Y8" s="14" t="s">
        <v>54</v>
      </c>
      <c r="Z8" s="14" t="s">
        <v>41</v>
      </c>
      <c r="AA8" s="14"/>
      <c r="AB8" s="14"/>
    </row>
    <row r="9" s="9" customFormat="1" customHeight="1" spans="1:28">
      <c r="A9" s="42">
        <v>7</v>
      </c>
      <c r="B9" s="14" t="s">
        <v>87</v>
      </c>
      <c r="C9" s="15">
        <v>45785</v>
      </c>
      <c r="D9" s="14" t="s">
        <v>30</v>
      </c>
      <c r="E9" s="14" t="s">
        <v>88</v>
      </c>
      <c r="F9" s="16" t="s">
        <v>65</v>
      </c>
      <c r="G9" s="16" t="s">
        <v>46</v>
      </c>
      <c r="H9" s="16" t="s">
        <v>89</v>
      </c>
      <c r="I9" s="14" t="s">
        <v>90</v>
      </c>
      <c r="J9" s="44" t="str">
        <f>_xlfn.XLOOKUP(H9,班组推进者!D:D,班组推进者!H:H,0)</f>
        <v>范永宾</v>
      </c>
      <c r="K9" s="44" t="str">
        <f>_xlfn.XLOOKUP(H9,班组推进者!D:D,班组推进者!I:I,0)</f>
        <v>魏成志</v>
      </c>
      <c r="L9" s="14"/>
      <c r="M9" s="14"/>
      <c r="N9" s="14" t="s">
        <v>36</v>
      </c>
      <c r="O9" s="44">
        <f>_xlfn.XLOOKUP(H:H,[1]班组信息!$D:$D,[1]班组信息!$L:$L,0)</f>
        <v>15</v>
      </c>
      <c r="P9" s="49" t="s">
        <v>91</v>
      </c>
      <c r="Q9" s="17" t="s">
        <v>50</v>
      </c>
      <c r="R9" s="57" t="s">
        <v>92</v>
      </c>
      <c r="S9" s="58">
        <v>26</v>
      </c>
      <c r="T9" s="17" t="s">
        <v>93</v>
      </c>
      <c r="U9" s="14" t="s">
        <v>41</v>
      </c>
      <c r="V9" s="17" t="s">
        <v>53</v>
      </c>
      <c r="W9" s="38" t="s">
        <v>94</v>
      </c>
      <c r="X9" s="17" t="s">
        <v>46</v>
      </c>
      <c r="Y9" s="17" t="s">
        <v>54</v>
      </c>
      <c r="Z9" s="14" t="s">
        <v>41</v>
      </c>
      <c r="AA9" s="68"/>
      <c r="AB9" s="68"/>
    </row>
    <row r="10" s="9" customFormat="1" customHeight="1" spans="1:28">
      <c r="A10" s="13">
        <v>8</v>
      </c>
      <c r="B10" s="14" t="s">
        <v>95</v>
      </c>
      <c r="C10" s="15">
        <v>45785</v>
      </c>
      <c r="D10" s="14" t="s">
        <v>30</v>
      </c>
      <c r="E10" s="15" t="s">
        <v>31</v>
      </c>
      <c r="F10" s="14" t="s">
        <v>72</v>
      </c>
      <c r="G10" s="14" t="s">
        <v>96</v>
      </c>
      <c r="H10" s="14" t="s">
        <v>97</v>
      </c>
      <c r="I10" s="14" t="s">
        <v>98</v>
      </c>
      <c r="J10" s="44" t="str">
        <f>_xlfn.XLOOKUP(H10,班组推进者!D:D,班组推进者!H:H,0)</f>
        <v>欧育顺</v>
      </c>
      <c r="K10" s="44" t="str">
        <f>_xlfn.XLOOKUP(H10,班组推进者!D:D,班组推进者!I:I,0)</f>
        <v>刘友三</v>
      </c>
      <c r="L10" s="14"/>
      <c r="M10" s="14"/>
      <c r="N10" s="14" t="s">
        <v>36</v>
      </c>
      <c r="O10" s="44">
        <f>_xlfn.XLOOKUP(H:H,[1]班组信息!$D:$D,[1]班组信息!$L:$L,0)</f>
        <v>27</v>
      </c>
      <c r="P10" s="14" t="s">
        <v>99</v>
      </c>
      <c r="Q10" s="14" t="s">
        <v>50</v>
      </c>
      <c r="R10" s="14" t="s">
        <v>100</v>
      </c>
      <c r="S10" s="21">
        <v>59</v>
      </c>
      <c r="T10" s="14" t="s">
        <v>101</v>
      </c>
      <c r="U10" s="14" t="s">
        <v>41</v>
      </c>
      <c r="V10" s="14" t="s">
        <v>42</v>
      </c>
      <c r="W10" s="15" t="s">
        <v>94</v>
      </c>
      <c r="X10" s="23"/>
      <c r="Y10" s="23" t="s">
        <v>54</v>
      </c>
      <c r="Z10" s="14" t="s">
        <v>41</v>
      </c>
      <c r="AA10" s="14"/>
      <c r="AB10" s="14"/>
    </row>
    <row r="11" s="9" customFormat="1" customHeight="1" spans="1:28">
      <c r="A11" s="42">
        <v>9</v>
      </c>
      <c r="B11" s="14" t="s">
        <v>102</v>
      </c>
      <c r="C11" s="15">
        <v>45785</v>
      </c>
      <c r="D11" s="14" t="s">
        <v>30</v>
      </c>
      <c r="E11" s="14" t="s">
        <v>103</v>
      </c>
      <c r="F11" s="14" t="s">
        <v>104</v>
      </c>
      <c r="G11" s="14" t="s">
        <v>105</v>
      </c>
      <c r="H11" s="14" t="s">
        <v>106</v>
      </c>
      <c r="I11" s="14" t="s">
        <v>105</v>
      </c>
      <c r="J11" s="44" t="str">
        <f>_xlfn.XLOOKUP(H11,班组推进者!D:D,班组推进者!H:H,0)</f>
        <v>赵强强、徐官保</v>
      </c>
      <c r="K11" s="44" t="str">
        <f>_xlfn.XLOOKUP(H11,班组推进者!D:D,班组推进者!I:I,0)</f>
        <v>龚天顺</v>
      </c>
      <c r="L11" s="14"/>
      <c r="M11" s="14"/>
      <c r="N11" s="14" t="s">
        <v>36</v>
      </c>
      <c r="O11" s="44">
        <f>_xlfn.XLOOKUP(H:H,[1]班组信息!$D:$D,[1]班组信息!$L:$L,0)</f>
        <v>34</v>
      </c>
      <c r="P11" s="14" t="s">
        <v>107</v>
      </c>
      <c r="Q11" s="14" t="s">
        <v>50</v>
      </c>
      <c r="R11" s="69" t="s">
        <v>108</v>
      </c>
      <c r="S11" s="21">
        <v>43</v>
      </c>
      <c r="T11" s="14" t="s">
        <v>109</v>
      </c>
      <c r="U11" s="14" t="s">
        <v>41</v>
      </c>
      <c r="V11" s="14" t="s">
        <v>42</v>
      </c>
      <c r="W11" s="22">
        <v>45765</v>
      </c>
      <c r="X11" s="14" t="s">
        <v>46</v>
      </c>
      <c r="Y11" s="17" t="s">
        <v>54</v>
      </c>
      <c r="Z11" s="14" t="s">
        <v>41</v>
      </c>
      <c r="AA11" s="14"/>
      <c r="AB11" s="14"/>
    </row>
    <row r="12" s="9" customFormat="1" customHeight="1" spans="1:28">
      <c r="A12" s="13">
        <v>10</v>
      </c>
      <c r="B12" s="14" t="s">
        <v>110</v>
      </c>
      <c r="C12" s="15">
        <v>45906</v>
      </c>
      <c r="D12" s="14" t="s">
        <v>30</v>
      </c>
      <c r="E12" s="30" t="s">
        <v>31</v>
      </c>
      <c r="F12" s="30" t="s">
        <v>72</v>
      </c>
      <c r="G12" s="30" t="s">
        <v>111</v>
      </c>
      <c r="H12" s="14" t="s">
        <v>112</v>
      </c>
      <c r="I12" s="30" t="s">
        <v>113</v>
      </c>
      <c r="J12" s="44" t="str">
        <f>_xlfn.XLOOKUP(H12,班组推进者!D:D,班组推进者!H:H,0)</f>
        <v>张富</v>
      </c>
      <c r="K12" s="44" t="str">
        <f>_xlfn.XLOOKUP(H12,班组推进者!D:D,班组推进者!I:I,0)</f>
        <v>唐星民</v>
      </c>
      <c r="L12" s="30"/>
      <c r="M12" s="30"/>
      <c r="N12" s="17" t="s">
        <v>36</v>
      </c>
      <c r="O12" s="44">
        <f>_xlfn.XLOOKUP(H:H,[1]班组信息!$D:$D,[1]班组信息!$L:$L,0)</f>
        <v>27</v>
      </c>
      <c r="P12" s="14" t="s">
        <v>114</v>
      </c>
      <c r="Q12" s="14" t="s">
        <v>50</v>
      </c>
      <c r="R12" s="14" t="s">
        <v>115</v>
      </c>
      <c r="S12" s="21">
        <v>38</v>
      </c>
      <c r="T12" s="14" t="s">
        <v>116</v>
      </c>
      <c r="U12" s="14" t="s">
        <v>41</v>
      </c>
      <c r="V12" s="14" t="s">
        <v>53</v>
      </c>
      <c r="W12" s="22">
        <v>45989</v>
      </c>
      <c r="X12" s="22"/>
      <c r="Y12" s="14" t="s">
        <v>54</v>
      </c>
      <c r="Z12" s="14" t="s">
        <v>41</v>
      </c>
      <c r="AA12" s="14"/>
      <c r="AB12" s="14"/>
    </row>
    <row r="13" s="9" customFormat="1" customHeight="1" spans="1:28">
      <c r="A13" s="42">
        <v>11</v>
      </c>
      <c r="B13" s="14" t="s">
        <v>117</v>
      </c>
      <c r="C13" s="15">
        <v>45785</v>
      </c>
      <c r="D13" s="14" t="s">
        <v>30</v>
      </c>
      <c r="E13" s="15" t="s">
        <v>31</v>
      </c>
      <c r="F13" s="14" t="s">
        <v>72</v>
      </c>
      <c r="G13" s="14" t="s">
        <v>118</v>
      </c>
      <c r="H13" s="14" t="s">
        <v>119</v>
      </c>
      <c r="I13" s="14" t="s">
        <v>120</v>
      </c>
      <c r="J13" s="44" t="str">
        <f>_xlfn.XLOOKUP(H13,班组推进者!D:D,班组推进者!H:H,0)</f>
        <v>张富</v>
      </c>
      <c r="K13" s="44" t="str">
        <f>_xlfn.XLOOKUP(H13,班组推进者!D:D,班组推进者!I:I,0)</f>
        <v>李胜朝</v>
      </c>
      <c r="L13" s="14"/>
      <c r="M13" s="14"/>
      <c r="N13" s="14" t="s">
        <v>36</v>
      </c>
      <c r="O13" s="44">
        <f>_xlfn.XLOOKUP(H:H,[1]班组信息!$D:$D,[1]班组信息!$L:$L,0)</f>
        <v>33</v>
      </c>
      <c r="P13" s="14" t="s">
        <v>121</v>
      </c>
      <c r="Q13" s="14" t="s">
        <v>50</v>
      </c>
      <c r="R13" s="14" t="s">
        <v>122</v>
      </c>
      <c r="S13" s="21">
        <v>47</v>
      </c>
      <c r="T13" s="14" t="s">
        <v>116</v>
      </c>
      <c r="U13" s="14" t="s">
        <v>41</v>
      </c>
      <c r="V13" s="14" t="s">
        <v>42</v>
      </c>
      <c r="W13" s="15" t="s">
        <v>123</v>
      </c>
      <c r="X13" s="23"/>
      <c r="Y13" s="23" t="s">
        <v>54</v>
      </c>
      <c r="Z13" s="14" t="s">
        <v>41</v>
      </c>
      <c r="AA13" s="14"/>
      <c r="AB13" s="14"/>
    </row>
    <row r="14" s="9" customFormat="1" customHeight="1" spans="1:28">
      <c r="A14" s="13">
        <v>12</v>
      </c>
      <c r="B14" s="14" t="s">
        <v>124</v>
      </c>
      <c r="C14" s="15">
        <v>45785</v>
      </c>
      <c r="D14" s="14" t="s">
        <v>30</v>
      </c>
      <c r="E14" s="15" t="s">
        <v>31</v>
      </c>
      <c r="F14" s="14" t="s">
        <v>72</v>
      </c>
      <c r="G14" s="14" t="s">
        <v>96</v>
      </c>
      <c r="H14" s="14" t="s">
        <v>125</v>
      </c>
      <c r="I14" s="14" t="s">
        <v>126</v>
      </c>
      <c r="J14" s="44" t="str">
        <f>_xlfn.XLOOKUP(H14,班组推进者!D:D,班组推进者!H:H,0)</f>
        <v>曲殿英、周雷</v>
      </c>
      <c r="K14" s="44" t="str">
        <f>_xlfn.XLOOKUP(H14,班组推进者!D:D,班组推进者!I:I,0)</f>
        <v>果机吃沙</v>
      </c>
      <c r="L14" s="14"/>
      <c r="M14" s="14"/>
      <c r="N14" s="14" t="s">
        <v>36</v>
      </c>
      <c r="O14" s="44">
        <f>_xlfn.XLOOKUP(H:H,[1]班组信息!$D:$D,[1]班组信息!$L:$L,0)</f>
        <v>50</v>
      </c>
      <c r="P14" s="14" t="s">
        <v>127</v>
      </c>
      <c r="Q14" s="14" t="s">
        <v>50</v>
      </c>
      <c r="R14" s="69" t="s">
        <v>128</v>
      </c>
      <c r="S14" s="21">
        <v>41</v>
      </c>
      <c r="T14" s="14" t="s">
        <v>129</v>
      </c>
      <c r="U14" s="14" t="s">
        <v>41</v>
      </c>
      <c r="V14" s="14" t="s">
        <v>42</v>
      </c>
      <c r="W14" s="22" t="s">
        <v>130</v>
      </c>
      <c r="X14" s="22"/>
      <c r="Y14" s="23" t="s">
        <v>54</v>
      </c>
      <c r="Z14" s="14" t="s">
        <v>41</v>
      </c>
      <c r="AA14" s="14"/>
      <c r="AB14" s="14"/>
    </row>
    <row r="15" s="9" customFormat="1" customHeight="1" spans="1:28">
      <c r="A15" s="42">
        <v>13</v>
      </c>
      <c r="B15" s="14" t="s">
        <v>131</v>
      </c>
      <c r="C15" s="15">
        <v>45785</v>
      </c>
      <c r="D15" s="14" t="s">
        <v>30</v>
      </c>
      <c r="E15" s="14" t="s">
        <v>132</v>
      </c>
      <c r="F15" s="14" t="s">
        <v>133</v>
      </c>
      <c r="G15" s="14" t="s">
        <v>134</v>
      </c>
      <c r="H15" s="14" t="s">
        <v>135</v>
      </c>
      <c r="I15" s="14" t="s">
        <v>136</v>
      </c>
      <c r="J15" s="44" t="str">
        <f>_xlfn.XLOOKUP(H15,班组推进者!D:D,班组推进者!H:H,0)</f>
        <v>吴祖基、韦伴锋</v>
      </c>
      <c r="K15" s="44" t="str">
        <f>_xlfn.XLOOKUP(H15,班组推进者!D:D,班组推进者!I:I,0)</f>
        <v>魏成志</v>
      </c>
      <c r="L15" s="14"/>
      <c r="M15" s="14"/>
      <c r="N15" s="14" t="s">
        <v>36</v>
      </c>
      <c r="O15" s="44">
        <f>_xlfn.XLOOKUP(H:H,[1]班组信息!$D:$D,[1]班组信息!$L:$L,0)</f>
        <v>40</v>
      </c>
      <c r="P15" s="14" t="s">
        <v>137</v>
      </c>
      <c r="Q15" s="14" t="s">
        <v>50</v>
      </c>
      <c r="R15" s="69" t="s">
        <v>138</v>
      </c>
      <c r="S15" s="21">
        <v>43</v>
      </c>
      <c r="T15" s="14" t="s">
        <v>139</v>
      </c>
      <c r="U15" s="14" t="s">
        <v>41</v>
      </c>
      <c r="V15" s="14" t="s">
        <v>42</v>
      </c>
      <c r="W15" s="15"/>
      <c r="X15" s="17" t="s">
        <v>46</v>
      </c>
      <c r="Y15" s="17" t="s">
        <v>54</v>
      </c>
      <c r="Z15" s="14" t="s">
        <v>41</v>
      </c>
      <c r="AA15" s="14"/>
      <c r="AB15" s="14"/>
    </row>
    <row r="16" s="9" customFormat="1" customHeight="1" spans="1:28">
      <c r="A16" s="13">
        <v>14</v>
      </c>
      <c r="B16" s="14" t="s">
        <v>140</v>
      </c>
      <c r="C16" s="15">
        <v>45957</v>
      </c>
      <c r="D16" s="14" t="s">
        <v>30</v>
      </c>
      <c r="E16" s="14" t="s">
        <v>132</v>
      </c>
      <c r="F16" s="14" t="s">
        <v>133</v>
      </c>
      <c r="G16" s="14" t="s">
        <v>141</v>
      </c>
      <c r="H16" s="14" t="s">
        <v>142</v>
      </c>
      <c r="I16" s="14" t="s">
        <v>143</v>
      </c>
      <c r="J16" s="44" t="str">
        <f>_xlfn.XLOOKUP(H16,班组推进者!D:D,班组推进者!H:H,0)</f>
        <v>张剑华</v>
      </c>
      <c r="K16" s="44" t="str">
        <f>_xlfn.XLOOKUP(H16,班组推进者!D:D,班组推进者!I:I,0)</f>
        <v>李煊民</v>
      </c>
      <c r="L16" s="14"/>
      <c r="M16" s="14"/>
      <c r="N16" s="14" t="s">
        <v>36</v>
      </c>
      <c r="O16" s="44">
        <f>_xlfn.XLOOKUP(H:H,[1]班组信息!$D:$D,[1]班组信息!$L:$L,0)</f>
        <v>38</v>
      </c>
      <c r="P16" s="14" t="s">
        <v>144</v>
      </c>
      <c r="Q16" s="14" t="s">
        <v>50</v>
      </c>
      <c r="R16" s="69" t="s">
        <v>145</v>
      </c>
      <c r="S16" s="21">
        <v>45</v>
      </c>
      <c r="T16" s="14" t="s">
        <v>129</v>
      </c>
      <c r="U16" s="14" t="s">
        <v>41</v>
      </c>
      <c r="V16" s="14" t="s">
        <v>42</v>
      </c>
      <c r="W16" s="40" t="s">
        <v>146</v>
      </c>
      <c r="X16" s="14" t="s">
        <v>46</v>
      </c>
      <c r="Y16" s="14" t="s">
        <v>54</v>
      </c>
      <c r="Z16" s="14" t="s">
        <v>41</v>
      </c>
      <c r="AA16" s="14"/>
      <c r="AB16" s="14"/>
    </row>
    <row r="17" s="9" customFormat="1" customHeight="1" spans="1:28">
      <c r="A17" s="42">
        <v>15</v>
      </c>
      <c r="B17" s="14" t="s">
        <v>147</v>
      </c>
      <c r="C17" s="15">
        <v>45811</v>
      </c>
      <c r="D17" s="14" t="s">
        <v>30</v>
      </c>
      <c r="E17" s="15" t="s">
        <v>31</v>
      </c>
      <c r="F17" s="14" t="s">
        <v>72</v>
      </c>
      <c r="G17" s="14" t="s">
        <v>96</v>
      </c>
      <c r="H17" s="14" t="s">
        <v>148</v>
      </c>
      <c r="I17" s="14" t="s">
        <v>149</v>
      </c>
      <c r="J17" s="44" t="str">
        <f>_xlfn.XLOOKUP(H17,班组推进者!D:D,班组推进者!H:H,0)</f>
        <v>张久风</v>
      </c>
      <c r="K17" s="44" t="str">
        <f>_xlfn.XLOOKUP(H17,班组推进者!D:D,班组推进者!I:I,0)</f>
        <v>李修</v>
      </c>
      <c r="L17" s="14"/>
      <c r="M17" s="14"/>
      <c r="N17" s="14" t="s">
        <v>36</v>
      </c>
      <c r="O17" s="44">
        <f>_xlfn.XLOOKUP(H:H,[1]班组信息!$D:$D,[1]班组信息!$L:$L,0)</f>
        <v>26</v>
      </c>
      <c r="P17" s="14" t="s">
        <v>150</v>
      </c>
      <c r="Q17" s="14" t="s">
        <v>50</v>
      </c>
      <c r="R17" s="14" t="s">
        <v>151</v>
      </c>
      <c r="S17" s="21">
        <v>52</v>
      </c>
      <c r="T17" s="14" t="s">
        <v>152</v>
      </c>
      <c r="U17" s="14" t="s">
        <v>41</v>
      </c>
      <c r="V17" s="14" t="s">
        <v>42</v>
      </c>
      <c r="W17" s="15" t="s">
        <v>153</v>
      </c>
      <c r="X17" s="14"/>
      <c r="Y17" s="14" t="s">
        <v>54</v>
      </c>
      <c r="Z17" s="14" t="s">
        <v>41</v>
      </c>
      <c r="AA17" s="68"/>
      <c r="AB17" s="68"/>
    </row>
    <row r="18" s="9" customFormat="1" customHeight="1" spans="1:28">
      <c r="A18" s="13">
        <v>16</v>
      </c>
      <c r="B18" s="14" t="s">
        <v>154</v>
      </c>
      <c r="C18" s="15">
        <v>45816</v>
      </c>
      <c r="D18" s="14" t="s">
        <v>30</v>
      </c>
      <c r="E18" s="14" t="s">
        <v>88</v>
      </c>
      <c r="F18" s="14" t="s">
        <v>155</v>
      </c>
      <c r="G18" s="14" t="s">
        <v>156</v>
      </c>
      <c r="H18" s="14" t="s">
        <v>157</v>
      </c>
      <c r="I18" s="14" t="s">
        <v>158</v>
      </c>
      <c r="J18" s="44" t="str">
        <f>_xlfn.XLOOKUP(H18,班组推进者!D:D,班组推进者!H:H,0)</f>
        <v>甘昌锦</v>
      </c>
      <c r="K18" s="44" t="str">
        <f>_xlfn.XLOOKUP(H18,班组推进者!D:D,班组推进者!I:I,0)</f>
        <v>魏成志</v>
      </c>
      <c r="L18" s="14"/>
      <c r="M18" s="14"/>
      <c r="N18" s="14" t="s">
        <v>36</v>
      </c>
      <c r="O18" s="44">
        <f>_xlfn.XLOOKUP(H:H,[1]班组信息!$D:$D,[1]班组信息!$L:$L,0)</f>
        <v>38</v>
      </c>
      <c r="P18" s="25" t="s">
        <v>159</v>
      </c>
      <c r="Q18" s="14" t="s">
        <v>50</v>
      </c>
      <c r="R18" s="70" t="s">
        <v>160</v>
      </c>
      <c r="S18" s="21">
        <v>48</v>
      </c>
      <c r="T18" s="25" t="s">
        <v>161</v>
      </c>
      <c r="U18" s="14" t="s">
        <v>41</v>
      </c>
      <c r="V18" s="14" t="s">
        <v>42</v>
      </c>
      <c r="W18" s="22">
        <v>45816</v>
      </c>
      <c r="X18" s="14" t="s">
        <v>46</v>
      </c>
      <c r="Y18" s="17" t="s">
        <v>54</v>
      </c>
      <c r="Z18" s="14" t="s">
        <v>41</v>
      </c>
      <c r="AA18" s="14"/>
      <c r="AB18" s="14"/>
    </row>
    <row r="19" s="9" customFormat="1" customHeight="1" spans="1:28">
      <c r="A19" s="42">
        <v>17</v>
      </c>
      <c r="B19" s="14" t="s">
        <v>162</v>
      </c>
      <c r="C19" s="15">
        <v>45846</v>
      </c>
      <c r="D19" s="14" t="s">
        <v>30</v>
      </c>
      <c r="E19" s="14" t="s">
        <v>88</v>
      </c>
      <c r="F19" s="14" t="s">
        <v>163</v>
      </c>
      <c r="G19" s="14" t="s">
        <v>164</v>
      </c>
      <c r="H19" s="14" t="s">
        <v>165</v>
      </c>
      <c r="I19" s="14" t="s">
        <v>166</v>
      </c>
      <c r="J19" s="44" t="str">
        <f>_xlfn.XLOOKUP(H19,班组推进者!D:D,班组推进者!H:H,0)</f>
        <v>刘源、李波</v>
      </c>
      <c r="K19" s="44" t="str">
        <f>_xlfn.XLOOKUP(H19,班组推进者!D:D,班组推进者!I:I,0)</f>
        <v>吕育祥</v>
      </c>
      <c r="L19" s="14"/>
      <c r="M19" s="17"/>
      <c r="N19" s="14" t="s">
        <v>36</v>
      </c>
      <c r="O19" s="44">
        <f>_xlfn.XLOOKUP(H:H,[1]班组信息!$D:$D,[1]班组信息!$L:$L,0)</f>
        <v>26</v>
      </c>
      <c r="P19" s="14" t="s">
        <v>167</v>
      </c>
      <c r="Q19" s="17" t="s">
        <v>50</v>
      </c>
      <c r="R19" s="71" t="s">
        <v>168</v>
      </c>
      <c r="S19" s="60">
        <v>35</v>
      </c>
      <c r="T19" s="17" t="s">
        <v>161</v>
      </c>
      <c r="U19" s="14" t="s">
        <v>41</v>
      </c>
      <c r="V19" s="17" t="s">
        <v>42</v>
      </c>
      <c r="W19" s="15">
        <v>45846</v>
      </c>
      <c r="X19" s="17" t="s">
        <v>46</v>
      </c>
      <c r="Y19" s="17" t="s">
        <v>54</v>
      </c>
      <c r="Z19" s="14" t="s">
        <v>41</v>
      </c>
      <c r="AA19" s="68"/>
      <c r="AB19" s="68"/>
    </row>
    <row r="20" s="9" customFormat="1" customHeight="1" spans="1:28">
      <c r="A20" s="13">
        <v>18</v>
      </c>
      <c r="B20" s="14" t="s">
        <v>169</v>
      </c>
      <c r="C20" s="15">
        <v>45855</v>
      </c>
      <c r="D20" s="14" t="s">
        <v>30</v>
      </c>
      <c r="E20" s="14" t="s">
        <v>103</v>
      </c>
      <c r="F20" s="16" t="s">
        <v>170</v>
      </c>
      <c r="G20" s="16" t="s">
        <v>46</v>
      </c>
      <c r="H20" s="16" t="s">
        <v>171</v>
      </c>
      <c r="I20" s="14" t="s">
        <v>172</v>
      </c>
      <c r="J20" s="44" t="str">
        <f>_xlfn.XLOOKUP(H20,班组推进者!D:D,班组推进者!H:H,0)</f>
        <v>冉术林</v>
      </c>
      <c r="K20" s="44" t="str">
        <f>_xlfn.XLOOKUP(H20,班组推进者!D:D,班组推进者!I:I,0)</f>
        <v>谭小飞</v>
      </c>
      <c r="L20" s="14"/>
      <c r="M20" s="17"/>
      <c r="N20" s="14" t="s">
        <v>36</v>
      </c>
      <c r="O20" s="44">
        <f>_xlfn.XLOOKUP(H:H,[1]班组信息!$D:$D,[1]班组信息!$L:$L,0)</f>
        <v>28</v>
      </c>
      <c r="P20" s="14" t="s">
        <v>173</v>
      </c>
      <c r="Q20" s="14" t="s">
        <v>50</v>
      </c>
      <c r="R20" s="69" t="s">
        <v>174</v>
      </c>
      <c r="S20" s="21">
        <f ca="1">YEAR(TODAY())-MID(R20,7,4)</f>
        <v>57</v>
      </c>
      <c r="T20" s="17" t="s">
        <v>175</v>
      </c>
      <c r="U20" s="14" t="s">
        <v>41</v>
      </c>
      <c r="V20" s="17" t="s">
        <v>53</v>
      </c>
      <c r="W20" s="15">
        <v>45855</v>
      </c>
      <c r="X20" s="17" t="s">
        <v>46</v>
      </c>
      <c r="Y20" s="17" t="s">
        <v>54</v>
      </c>
      <c r="Z20" s="14" t="s">
        <v>41</v>
      </c>
      <c r="AA20" s="68"/>
      <c r="AB20" s="68"/>
    </row>
    <row r="21" s="9" customFormat="1" customHeight="1" spans="1:28">
      <c r="A21" s="42">
        <v>19</v>
      </c>
      <c r="B21" s="14" t="s">
        <v>176</v>
      </c>
      <c r="C21" s="15">
        <v>45863</v>
      </c>
      <c r="D21" s="14" t="s">
        <v>30</v>
      </c>
      <c r="E21" s="14" t="s">
        <v>88</v>
      </c>
      <c r="F21" s="14" t="s">
        <v>177</v>
      </c>
      <c r="G21" s="14" t="s">
        <v>178</v>
      </c>
      <c r="H21" s="14" t="s">
        <v>179</v>
      </c>
      <c r="I21" s="14" t="s">
        <v>180</v>
      </c>
      <c r="J21" s="44" t="str">
        <f>_xlfn.XLOOKUP(H21,班组推进者!D:D,班组推进者!H:H,0)</f>
        <v>范永宾</v>
      </c>
      <c r="K21" s="44" t="str">
        <f>_xlfn.XLOOKUP(H21,班组推进者!D:D,班组推进者!I:I,0)</f>
        <v>吕育祥</v>
      </c>
      <c r="L21" s="14"/>
      <c r="M21" s="17"/>
      <c r="N21" s="14" t="s">
        <v>36</v>
      </c>
      <c r="O21" s="44">
        <f>_xlfn.XLOOKUP(H:H,[1]班组信息!$D:$D,[1]班组信息!$L:$L,0)</f>
        <v>38</v>
      </c>
      <c r="P21" s="14" t="s">
        <v>181</v>
      </c>
      <c r="Q21" s="14" t="s">
        <v>50</v>
      </c>
      <c r="R21" s="69" t="s">
        <v>182</v>
      </c>
      <c r="S21" s="21">
        <v>36</v>
      </c>
      <c r="T21" s="17" t="s">
        <v>161</v>
      </c>
      <c r="U21" s="14" t="s">
        <v>41</v>
      </c>
      <c r="V21" s="17" t="s">
        <v>42</v>
      </c>
      <c r="W21" s="38"/>
      <c r="X21" s="17" t="s">
        <v>46</v>
      </c>
      <c r="Y21" s="17" t="s">
        <v>54</v>
      </c>
      <c r="Z21" s="14" t="s">
        <v>41</v>
      </c>
      <c r="AA21" s="14"/>
      <c r="AB21" s="14"/>
    </row>
    <row r="22" s="9" customFormat="1" customHeight="1" spans="1:28">
      <c r="A22" s="13">
        <v>20</v>
      </c>
      <c r="B22" s="14" t="s">
        <v>183</v>
      </c>
      <c r="C22" s="15">
        <v>45863</v>
      </c>
      <c r="D22" s="14" t="s">
        <v>30</v>
      </c>
      <c r="E22" s="14" t="s">
        <v>88</v>
      </c>
      <c r="F22" s="14" t="s">
        <v>184</v>
      </c>
      <c r="G22" s="14" t="s">
        <v>185</v>
      </c>
      <c r="H22" s="14" t="s">
        <v>186</v>
      </c>
      <c r="I22" s="14" t="s">
        <v>187</v>
      </c>
      <c r="J22" s="44" t="str">
        <f>_xlfn.XLOOKUP(H22,班组推进者!D:D,班组推进者!H:H,0)</f>
        <v>甘昌锦</v>
      </c>
      <c r="K22" s="44" t="str">
        <f>_xlfn.XLOOKUP(H22,班组推进者!D:D,班组推进者!I:I,0)</f>
        <v>吕育祥</v>
      </c>
      <c r="L22" s="29"/>
      <c r="M22" s="29"/>
      <c r="N22" s="14" t="s">
        <v>36</v>
      </c>
      <c r="O22" s="44">
        <f>_xlfn.XLOOKUP(H:H,[1]班组信息!$D:$D,[1]班组信息!$L:$L,0)</f>
        <v>15</v>
      </c>
      <c r="P22" s="14" t="s">
        <v>188</v>
      </c>
      <c r="Q22" s="14" t="s">
        <v>50</v>
      </c>
      <c r="R22" s="69" t="s">
        <v>189</v>
      </c>
      <c r="S22" s="21">
        <v>35</v>
      </c>
      <c r="T22" s="17" t="s">
        <v>101</v>
      </c>
      <c r="U22" s="14" t="s">
        <v>41</v>
      </c>
      <c r="V22" s="17" t="s">
        <v>42</v>
      </c>
      <c r="W22" s="38">
        <v>45862</v>
      </c>
      <c r="X22" s="17" t="s">
        <v>46</v>
      </c>
      <c r="Y22" s="17" t="s">
        <v>54</v>
      </c>
      <c r="Z22" s="14" t="s">
        <v>41</v>
      </c>
      <c r="AA22" s="68"/>
      <c r="AB22" s="68"/>
    </row>
    <row r="23" s="9" customFormat="1" customHeight="1" spans="1:28">
      <c r="A23" s="42">
        <v>21</v>
      </c>
      <c r="B23" s="14" t="s">
        <v>190</v>
      </c>
      <c r="C23" s="15">
        <v>45875</v>
      </c>
      <c r="D23" s="14" t="s">
        <v>30</v>
      </c>
      <c r="E23" s="29" t="s">
        <v>191</v>
      </c>
      <c r="F23" s="16" t="s">
        <v>170</v>
      </c>
      <c r="G23" s="16" t="s">
        <v>46</v>
      </c>
      <c r="H23" s="16" t="s">
        <v>192</v>
      </c>
      <c r="I23" s="14" t="s">
        <v>193</v>
      </c>
      <c r="J23" s="44" t="str">
        <f>_xlfn.XLOOKUP(H23,班组推进者!D:D,班组推进者!H:H,0)</f>
        <v>吴坤鹏、李世忠</v>
      </c>
      <c r="K23" s="44" t="str">
        <f>_xlfn.XLOOKUP(H23,班组推进者!D:D,班组推进者!I:I,0)</f>
        <v>谢博鑫</v>
      </c>
      <c r="L23" s="29"/>
      <c r="M23" s="29"/>
      <c r="N23" s="14" t="s">
        <v>36</v>
      </c>
      <c r="O23" s="44">
        <f>_xlfn.XLOOKUP(H:H,[1]班组信息!$D:$D,[1]班组信息!$L:$L,0)</f>
        <v>14</v>
      </c>
      <c r="P23" s="14" t="s">
        <v>194</v>
      </c>
      <c r="Q23" s="14" t="s">
        <v>50</v>
      </c>
      <c r="R23" s="69" t="s">
        <v>195</v>
      </c>
      <c r="S23" s="21">
        <f ca="1">YEAR(TODAY())-MID(R23,7,4)</f>
        <v>29</v>
      </c>
      <c r="T23" s="17" t="s">
        <v>196</v>
      </c>
      <c r="U23" s="14" t="s">
        <v>41</v>
      </c>
      <c r="V23" s="17" t="s">
        <v>53</v>
      </c>
      <c r="W23" s="38"/>
      <c r="X23" s="17" t="s">
        <v>46</v>
      </c>
      <c r="Y23" s="17" t="s">
        <v>54</v>
      </c>
      <c r="Z23" s="14" t="s">
        <v>41</v>
      </c>
      <c r="AA23" s="68"/>
      <c r="AB23" s="68"/>
    </row>
    <row r="24" s="9" customFormat="1" customHeight="1" spans="1:28">
      <c r="A24" s="13">
        <v>22</v>
      </c>
      <c r="B24" s="14" t="s">
        <v>197</v>
      </c>
      <c r="C24" s="15">
        <v>45942</v>
      </c>
      <c r="D24" s="14" t="s">
        <v>30</v>
      </c>
      <c r="E24" s="29" t="s">
        <v>31</v>
      </c>
      <c r="F24" s="14" t="s">
        <v>198</v>
      </c>
      <c r="G24" s="14" t="s">
        <v>199</v>
      </c>
      <c r="H24" s="14" t="s">
        <v>200</v>
      </c>
      <c r="I24" s="14" t="s">
        <v>201</v>
      </c>
      <c r="J24" s="44" t="str">
        <f>_xlfn.XLOOKUP(H24,班组推进者!D:D,班组推进者!H:H,0)</f>
        <v>魏垚</v>
      </c>
      <c r="K24" s="44" t="str">
        <f>_xlfn.XLOOKUP(H24,班组推进者!D:D,班组推进者!I:I,0)</f>
        <v>朱凡康</v>
      </c>
      <c r="L24" s="29"/>
      <c r="M24" s="29"/>
      <c r="N24" s="14" t="s">
        <v>36</v>
      </c>
      <c r="O24" s="44">
        <f>_xlfn.XLOOKUP(H:H,[1]班组信息!$D:$D,[1]班组信息!$L:$L,0)</f>
        <v>40</v>
      </c>
      <c r="P24" s="14" t="s">
        <v>202</v>
      </c>
      <c r="Q24" s="14" t="s">
        <v>50</v>
      </c>
      <c r="R24" s="14" t="s">
        <v>203</v>
      </c>
      <c r="S24" s="21">
        <v>50</v>
      </c>
      <c r="T24" s="21" t="s">
        <v>129</v>
      </c>
      <c r="U24" s="14" t="s">
        <v>41</v>
      </c>
      <c r="V24" s="17" t="s">
        <v>42</v>
      </c>
      <c r="W24" s="15">
        <v>45910</v>
      </c>
      <c r="X24" s="17" t="s">
        <v>46</v>
      </c>
      <c r="Y24" s="17" t="s">
        <v>54</v>
      </c>
      <c r="Z24" s="14" t="s">
        <v>41</v>
      </c>
      <c r="AA24" s="68"/>
      <c r="AB24" s="68"/>
    </row>
    <row r="25" customHeight="1" spans="1:28">
      <c r="A25" s="42">
        <v>23</v>
      </c>
      <c r="B25" s="14" t="s">
        <v>204</v>
      </c>
      <c r="C25" s="15">
        <v>45888</v>
      </c>
      <c r="D25" s="14" t="s">
        <v>30</v>
      </c>
      <c r="E25" s="14" t="s">
        <v>31</v>
      </c>
      <c r="F25" s="14" t="s">
        <v>198</v>
      </c>
      <c r="G25" s="14" t="s">
        <v>199</v>
      </c>
      <c r="H25" s="14" t="s">
        <v>205</v>
      </c>
      <c r="I25" s="14" t="s">
        <v>206</v>
      </c>
      <c r="J25" s="44" t="str">
        <f>_xlfn.XLOOKUP(H25,班组推进者!D:D,班组推进者!H:H,0)</f>
        <v>王奋泽</v>
      </c>
      <c r="K25" s="44" t="str">
        <f>_xlfn.XLOOKUP(H25,班组推进者!D:D,班组推进者!I:I,0)</f>
        <v>桂杨</v>
      </c>
      <c r="L25" s="14"/>
      <c r="M25" s="14"/>
      <c r="N25" s="14" t="s">
        <v>36</v>
      </c>
      <c r="O25" s="44">
        <f>_xlfn.XLOOKUP(H:H,[1]班组信息!$D:$D,[1]班组信息!$L:$L,0)</f>
        <v>27</v>
      </c>
      <c r="P25" s="14" t="s">
        <v>207</v>
      </c>
      <c r="Q25" s="14" t="s">
        <v>50</v>
      </c>
      <c r="R25" s="69" t="s">
        <v>208</v>
      </c>
      <c r="S25" s="21">
        <v>41</v>
      </c>
      <c r="T25" s="17" t="s">
        <v>139</v>
      </c>
      <c r="U25" s="14" t="s">
        <v>41</v>
      </c>
      <c r="V25" s="17" t="s">
        <v>42</v>
      </c>
      <c r="W25" s="38">
        <v>45986</v>
      </c>
      <c r="X25" s="17" t="s">
        <v>46</v>
      </c>
      <c r="Y25" s="17" t="s">
        <v>54</v>
      </c>
      <c r="Z25" s="14" t="s">
        <v>41</v>
      </c>
      <c r="AA25" s="14"/>
      <c r="AB25" s="14"/>
    </row>
    <row r="26" customHeight="1" spans="1:28">
      <c r="A26" s="13">
        <v>24</v>
      </c>
      <c r="B26" s="14" t="s">
        <v>209</v>
      </c>
      <c r="C26" s="15">
        <v>45903</v>
      </c>
      <c r="D26" s="14" t="s">
        <v>30</v>
      </c>
      <c r="E26" s="29" t="s">
        <v>31</v>
      </c>
      <c r="F26" s="14" t="s">
        <v>210</v>
      </c>
      <c r="G26" s="14" t="s">
        <v>211</v>
      </c>
      <c r="H26" s="14" t="s">
        <v>212</v>
      </c>
      <c r="I26" s="14" t="s">
        <v>213</v>
      </c>
      <c r="J26" s="44" t="str">
        <f>_xlfn.XLOOKUP(H26,班组推进者!D:D,班组推进者!H:H,0)</f>
        <v>梁冬杰、欧育顺</v>
      </c>
      <c r="K26" s="44" t="str">
        <f>_xlfn.XLOOKUP(H26,班组推进者!D:D,班组推进者!I:I,0)</f>
        <v>唐星民</v>
      </c>
      <c r="L26" s="14"/>
      <c r="M26" s="17"/>
      <c r="N26" s="14" t="s">
        <v>36</v>
      </c>
      <c r="O26" s="44">
        <f>_xlfn.XLOOKUP(H:H,[1]班组信息!$D:$D,[1]班组信息!$L:$L,0)</f>
        <v>35</v>
      </c>
      <c r="P26" s="14" t="s">
        <v>214</v>
      </c>
      <c r="Q26" s="14" t="s">
        <v>50</v>
      </c>
      <c r="R26" s="14" t="s">
        <v>215</v>
      </c>
      <c r="S26" s="21">
        <v>43</v>
      </c>
      <c r="T26" s="23" t="s">
        <v>129</v>
      </c>
      <c r="U26" s="14" t="s">
        <v>41</v>
      </c>
      <c r="V26" s="23" t="s">
        <v>42</v>
      </c>
      <c r="W26" s="15" t="s">
        <v>216</v>
      </c>
      <c r="X26" s="23"/>
      <c r="Y26" s="23" t="s">
        <v>54</v>
      </c>
      <c r="Z26" s="14" t="s">
        <v>41</v>
      </c>
      <c r="AA26" s="14"/>
      <c r="AB26" s="14"/>
    </row>
    <row r="27" customHeight="1" spans="1:28">
      <c r="A27" s="42">
        <v>25</v>
      </c>
      <c r="B27" s="14" t="s">
        <v>217</v>
      </c>
      <c r="C27" s="15">
        <v>45903</v>
      </c>
      <c r="D27" s="14" t="s">
        <v>30</v>
      </c>
      <c r="E27" s="29" t="s">
        <v>31</v>
      </c>
      <c r="F27" s="14" t="s">
        <v>72</v>
      </c>
      <c r="G27" s="14" t="s">
        <v>96</v>
      </c>
      <c r="H27" s="14" t="s">
        <v>218</v>
      </c>
      <c r="I27" s="14" t="s">
        <v>219</v>
      </c>
      <c r="J27" s="44" t="str">
        <f>_xlfn.XLOOKUP(H27,班组推进者!D:D,班组推进者!H:H,0)</f>
        <v>魏垚</v>
      </c>
      <c r="K27" s="44" t="str">
        <f>_xlfn.XLOOKUP(H27,班组推进者!D:D,班组推进者!I:I,0)</f>
        <v>罗园杰</v>
      </c>
      <c r="L27" s="14"/>
      <c r="M27" s="14"/>
      <c r="N27" s="14" t="s">
        <v>36</v>
      </c>
      <c r="O27" s="44">
        <f>_xlfn.XLOOKUP(H:H,[1]班组信息!$D:$D,[1]班组信息!$L:$L,0)</f>
        <v>54</v>
      </c>
      <c r="P27" s="14" t="s">
        <v>220</v>
      </c>
      <c r="Q27" s="14" t="s">
        <v>50</v>
      </c>
      <c r="R27" s="69" t="s">
        <v>221</v>
      </c>
      <c r="S27" s="21">
        <v>38</v>
      </c>
      <c r="T27" s="25" t="s">
        <v>101</v>
      </c>
      <c r="U27" s="14" t="s">
        <v>41</v>
      </c>
      <c r="V27" s="23" t="s">
        <v>42</v>
      </c>
      <c r="W27" s="22" t="s">
        <v>222</v>
      </c>
      <c r="X27" s="22"/>
      <c r="Y27" s="23" t="s">
        <v>54</v>
      </c>
      <c r="Z27" s="14" t="s">
        <v>41</v>
      </c>
      <c r="AA27" s="14"/>
      <c r="AB27" s="14"/>
    </row>
    <row r="28" customHeight="1" spans="1:28">
      <c r="A28" s="13">
        <v>26</v>
      </c>
      <c r="B28" s="14" t="s">
        <v>223</v>
      </c>
      <c r="C28" s="15">
        <v>45903</v>
      </c>
      <c r="D28" s="14" t="s">
        <v>30</v>
      </c>
      <c r="E28" s="29" t="s">
        <v>31</v>
      </c>
      <c r="F28" s="14" t="s">
        <v>72</v>
      </c>
      <c r="G28" s="14" t="s">
        <v>96</v>
      </c>
      <c r="H28" s="14" t="s">
        <v>224</v>
      </c>
      <c r="I28" s="14" t="s">
        <v>225</v>
      </c>
      <c r="J28" s="44" t="str">
        <f>_xlfn.XLOOKUP(H28,班组推进者!D:D,班组推进者!H:H,0)</f>
        <v>张久风</v>
      </c>
      <c r="K28" s="44" t="str">
        <f>_xlfn.XLOOKUP(H28,班组推进者!D:D,班组推进者!I:I,0)</f>
        <v>蓝竫熙</v>
      </c>
      <c r="L28" s="14"/>
      <c r="M28" s="17"/>
      <c r="N28" s="14" t="s">
        <v>36</v>
      </c>
      <c r="O28" s="44">
        <f>_xlfn.XLOOKUP(H:H,[1]班组信息!$D:$D,[1]班组信息!$L:$L,0)</f>
        <v>16</v>
      </c>
      <c r="P28" s="14" t="s">
        <v>226</v>
      </c>
      <c r="Q28" s="14" t="s">
        <v>50</v>
      </c>
      <c r="R28" s="14" t="s">
        <v>227</v>
      </c>
      <c r="S28" s="21">
        <v>50</v>
      </c>
      <c r="T28" s="23" t="s">
        <v>152</v>
      </c>
      <c r="U28" s="14" t="s">
        <v>41</v>
      </c>
      <c r="V28" s="23" t="s">
        <v>42</v>
      </c>
      <c r="W28" s="15" t="s">
        <v>228</v>
      </c>
      <c r="X28" s="23"/>
      <c r="Y28" s="23" t="s">
        <v>54</v>
      </c>
      <c r="Z28" s="14" t="s">
        <v>41</v>
      </c>
      <c r="AA28" s="14"/>
      <c r="AB28" s="14"/>
    </row>
    <row r="29" customHeight="1" spans="1:28">
      <c r="A29" s="42">
        <v>27</v>
      </c>
      <c r="B29" s="14" t="s">
        <v>229</v>
      </c>
      <c r="C29" s="15">
        <v>45911</v>
      </c>
      <c r="D29" s="14" t="s">
        <v>30</v>
      </c>
      <c r="E29" s="29" t="s">
        <v>31</v>
      </c>
      <c r="F29" s="14" t="s">
        <v>210</v>
      </c>
      <c r="G29" s="14" t="s">
        <v>211</v>
      </c>
      <c r="H29" s="14" t="s">
        <v>230</v>
      </c>
      <c r="I29" s="14" t="s">
        <v>231</v>
      </c>
      <c r="J29" s="44" t="str">
        <f>_xlfn.XLOOKUP(H29,班组推进者!D:D,班组推进者!H:H,0)</f>
        <v>王奋泽</v>
      </c>
      <c r="K29" s="44" t="str">
        <f>_xlfn.XLOOKUP(H29,班组推进者!D:D,班组推进者!I:I,0)</f>
        <v>宁以源</v>
      </c>
      <c r="L29" s="14"/>
      <c r="M29" s="14"/>
      <c r="N29" s="14" t="s">
        <v>36</v>
      </c>
      <c r="O29" s="44">
        <f>_xlfn.XLOOKUP(H:H,[1]班组信息!$D:$D,[1]班组信息!$L:$L,0)</f>
        <v>21</v>
      </c>
      <c r="P29" s="14" t="s">
        <v>232</v>
      </c>
      <c r="Q29" s="14" t="s">
        <v>50</v>
      </c>
      <c r="R29" s="69" t="s">
        <v>233</v>
      </c>
      <c r="S29" s="21">
        <v>49</v>
      </c>
      <c r="T29" s="14" t="s">
        <v>139</v>
      </c>
      <c r="U29" s="14" t="s">
        <v>41</v>
      </c>
      <c r="V29" s="23" t="s">
        <v>42</v>
      </c>
      <c r="W29" s="15" t="s">
        <v>234</v>
      </c>
      <c r="X29" s="22"/>
      <c r="Y29" s="23" t="s">
        <v>54</v>
      </c>
      <c r="Z29" s="14" t="s">
        <v>41</v>
      </c>
      <c r="AA29" s="14"/>
      <c r="AB29" s="14"/>
    </row>
    <row r="30" s="9" customFormat="1" customHeight="1" spans="1:28">
      <c r="A30" s="13">
        <v>28</v>
      </c>
      <c r="B30" s="14" t="s">
        <v>235</v>
      </c>
      <c r="C30" s="15">
        <v>45916</v>
      </c>
      <c r="D30" s="14" t="s">
        <v>30</v>
      </c>
      <c r="E30" s="14" t="s">
        <v>44</v>
      </c>
      <c r="F30" s="14" t="s">
        <v>236</v>
      </c>
      <c r="G30" s="14" t="s">
        <v>237</v>
      </c>
      <c r="H30" s="14" t="s">
        <v>238</v>
      </c>
      <c r="I30" s="14" t="s">
        <v>237</v>
      </c>
      <c r="J30" s="44" t="str">
        <f>_xlfn.XLOOKUP(H30,班组推进者!D:D,班组推进者!H:H,0)</f>
        <v>朱其星</v>
      </c>
      <c r="K30" s="44" t="str">
        <f>_xlfn.XLOOKUP(H30,班组推进者!D:D,班组推进者!I:I,0)</f>
        <v>冯海浪</v>
      </c>
      <c r="L30" s="14"/>
      <c r="M30" s="14"/>
      <c r="N30" s="14" t="s">
        <v>36</v>
      </c>
      <c r="O30" s="44">
        <f>_xlfn.XLOOKUP(H:H,[1]班组信息!$D:$D,[1]班组信息!$L:$L,0)</f>
        <v>13</v>
      </c>
      <c r="P30" s="14" t="s">
        <v>239</v>
      </c>
      <c r="Q30" s="14" t="s">
        <v>50</v>
      </c>
      <c r="R30" s="14" t="s">
        <v>240</v>
      </c>
      <c r="S30" s="21">
        <v>40</v>
      </c>
      <c r="T30" s="61" t="s">
        <v>101</v>
      </c>
      <c r="U30" s="14" t="s">
        <v>41</v>
      </c>
      <c r="V30" s="14" t="s">
        <v>42</v>
      </c>
      <c r="W30" s="60" t="s">
        <v>216</v>
      </c>
      <c r="X30" s="17" t="s">
        <v>46</v>
      </c>
      <c r="Y30" s="17" t="s">
        <v>54</v>
      </c>
      <c r="Z30" s="14" t="s">
        <v>41</v>
      </c>
      <c r="AA30" s="68"/>
      <c r="AB30" s="68"/>
    </row>
    <row r="31" customHeight="1" spans="1:28">
      <c r="A31" s="42">
        <v>29</v>
      </c>
      <c r="B31" s="14" t="s">
        <v>241</v>
      </c>
      <c r="C31" s="15">
        <v>45916</v>
      </c>
      <c r="D31" s="14" t="s">
        <v>30</v>
      </c>
      <c r="E31" s="29" t="s">
        <v>31</v>
      </c>
      <c r="F31" s="14" t="s">
        <v>210</v>
      </c>
      <c r="G31" s="14" t="s">
        <v>211</v>
      </c>
      <c r="H31" s="14" t="s">
        <v>242</v>
      </c>
      <c r="I31" s="14" t="s">
        <v>243</v>
      </c>
      <c r="J31" s="44" t="str">
        <f>_xlfn.XLOOKUP(H31,班组推进者!D:D,班组推进者!H:H,0)</f>
        <v>魏垚</v>
      </c>
      <c r="K31" s="44" t="str">
        <f>_xlfn.XLOOKUP(H31,班组推进者!D:D,班组推进者!I:I,0)</f>
        <v>刘友三</v>
      </c>
      <c r="L31" s="14"/>
      <c r="M31" s="14"/>
      <c r="N31" s="14" t="s">
        <v>36</v>
      </c>
      <c r="O31" s="44">
        <f>_xlfn.XLOOKUP(H:H,[1]班组信息!$D:$D,[1]班组信息!$L:$L,0)</f>
        <v>33</v>
      </c>
      <c r="P31" s="14" t="s">
        <v>244</v>
      </c>
      <c r="Q31" s="14" t="s">
        <v>50</v>
      </c>
      <c r="R31" s="69" t="s">
        <v>245</v>
      </c>
      <c r="S31" s="21">
        <v>35</v>
      </c>
      <c r="T31" s="14" t="s">
        <v>129</v>
      </c>
      <c r="U31" s="14" t="s">
        <v>41</v>
      </c>
      <c r="V31" s="14" t="s">
        <v>42</v>
      </c>
      <c r="W31" s="15" t="s">
        <v>234</v>
      </c>
      <c r="X31" s="22"/>
      <c r="Y31" s="23" t="s">
        <v>54</v>
      </c>
      <c r="Z31" s="14" t="s">
        <v>41</v>
      </c>
      <c r="AA31" s="14"/>
      <c r="AB31" s="14"/>
    </row>
    <row r="32" customHeight="1" spans="1:28">
      <c r="A32" s="42">
        <v>31</v>
      </c>
      <c r="B32" s="14" t="s">
        <v>246</v>
      </c>
      <c r="C32" s="15">
        <v>45942</v>
      </c>
      <c r="D32" s="14" t="s">
        <v>30</v>
      </c>
      <c r="E32" s="14" t="s">
        <v>31</v>
      </c>
      <c r="F32" s="14" t="s">
        <v>198</v>
      </c>
      <c r="G32" s="14" t="s">
        <v>199</v>
      </c>
      <c r="H32" s="14" t="s">
        <v>247</v>
      </c>
      <c r="I32" s="14" t="s">
        <v>248</v>
      </c>
      <c r="J32" s="44" t="str">
        <f>_xlfn.XLOOKUP(H32,班组推进者!D:D,班组推进者!H:H,0)</f>
        <v>李慧武、程伟</v>
      </c>
      <c r="K32" s="44" t="str">
        <f>_xlfn.XLOOKUP(H32,班组推进者!D:D,班组推进者!I:I,0)</f>
        <v>谢博鑫</v>
      </c>
      <c r="L32" s="14"/>
      <c r="M32" s="14"/>
      <c r="N32" s="14" t="s">
        <v>36</v>
      </c>
      <c r="O32" s="44">
        <f>_xlfn.XLOOKUP(H:H,[1]班组信息!$D:$D,[1]班组信息!$L:$L,0)</f>
        <v>30</v>
      </c>
      <c r="P32" s="14" t="s">
        <v>249</v>
      </c>
      <c r="Q32" s="14" t="s">
        <v>50</v>
      </c>
      <c r="R32" s="14" t="s">
        <v>250</v>
      </c>
      <c r="S32" s="62">
        <v>43</v>
      </c>
      <c r="T32" s="21" t="s">
        <v>129</v>
      </c>
      <c r="U32" s="14" t="s">
        <v>41</v>
      </c>
      <c r="V32" s="14" t="s">
        <v>42</v>
      </c>
      <c r="W32" s="15">
        <v>45915</v>
      </c>
      <c r="X32" s="17" t="s">
        <v>46</v>
      </c>
      <c r="Y32" s="17" t="s">
        <v>251</v>
      </c>
      <c r="Z32" s="14" t="s">
        <v>41</v>
      </c>
      <c r="AA32" s="14"/>
      <c r="AB32" s="14"/>
    </row>
    <row r="33" customHeight="1" spans="1:28">
      <c r="A33" s="13">
        <v>32</v>
      </c>
      <c r="B33" s="14" t="s">
        <v>252</v>
      </c>
      <c r="C33" s="15">
        <v>45951</v>
      </c>
      <c r="D33" s="14" t="s">
        <v>30</v>
      </c>
      <c r="E33" s="14" t="s">
        <v>31</v>
      </c>
      <c r="F33" s="14" t="s">
        <v>72</v>
      </c>
      <c r="G33" s="14" t="s">
        <v>118</v>
      </c>
      <c r="H33" s="14" t="s">
        <v>253</v>
      </c>
      <c r="I33" s="14" t="s">
        <v>254</v>
      </c>
      <c r="J33" s="44" t="str">
        <f>_xlfn.XLOOKUP(H33,班组推进者!D:D,班组推进者!H:H,0)</f>
        <v>张富</v>
      </c>
      <c r="K33" s="44" t="str">
        <f>_xlfn.XLOOKUP(H33,班组推进者!D:D,班组推进者!I:I,0)</f>
        <v>李胜朝</v>
      </c>
      <c r="L33" s="14"/>
      <c r="M33" s="14"/>
      <c r="N33" s="14" t="s">
        <v>36</v>
      </c>
      <c r="O33" s="44">
        <f>_xlfn.XLOOKUP(H:H,[1]班组信息!$D:$D,[1]班组信息!$L:$L,0)</f>
        <v>26</v>
      </c>
      <c r="P33" s="14" t="s">
        <v>255</v>
      </c>
      <c r="Q33" s="14" t="s">
        <v>50</v>
      </c>
      <c r="R33" s="14" t="s">
        <v>256</v>
      </c>
      <c r="S33" s="62">
        <v>39</v>
      </c>
      <c r="T33" s="25" t="s">
        <v>116</v>
      </c>
      <c r="U33" s="14" t="s">
        <v>41</v>
      </c>
      <c r="V33" s="14" t="s">
        <v>42</v>
      </c>
      <c r="W33" s="25" t="s">
        <v>257</v>
      </c>
      <c r="X33" s="25"/>
      <c r="Y33" s="25" t="s">
        <v>54</v>
      </c>
      <c r="Z33" s="25" t="s">
        <v>41</v>
      </c>
      <c r="AA33" s="14"/>
      <c r="AB33" s="14"/>
    </row>
    <row r="34" customHeight="1" spans="1:28">
      <c r="A34" s="42">
        <v>33</v>
      </c>
      <c r="B34" s="14" t="s">
        <v>258</v>
      </c>
      <c r="C34" s="15">
        <v>45954</v>
      </c>
      <c r="D34" s="14" t="s">
        <v>30</v>
      </c>
      <c r="E34" s="14" t="s">
        <v>88</v>
      </c>
      <c r="F34" s="14" t="s">
        <v>155</v>
      </c>
      <c r="G34" s="14" t="s">
        <v>156</v>
      </c>
      <c r="H34" s="14" t="s">
        <v>259</v>
      </c>
      <c r="I34" s="14" t="s">
        <v>260</v>
      </c>
      <c r="J34" s="44" t="str">
        <f>_xlfn.XLOOKUP(H34,班组推进者!D:D,班组推进者!H:H,0)</f>
        <v>李斌、蔡彪</v>
      </c>
      <c r="K34" s="44" t="str">
        <f>_xlfn.XLOOKUP(H34,班组推进者!D:D,班组推进者!I:I,0)</f>
        <v>龚天顺</v>
      </c>
      <c r="L34" s="14"/>
      <c r="M34" s="14"/>
      <c r="N34" s="14" t="s">
        <v>36</v>
      </c>
      <c r="O34" s="44">
        <f>_xlfn.XLOOKUP(H:H,[1]班组信息!$D:$D,[1]班组信息!$L:$L,0)</f>
        <v>37</v>
      </c>
      <c r="P34" s="14" t="s">
        <v>261</v>
      </c>
      <c r="Q34" s="14" t="s">
        <v>50</v>
      </c>
      <c r="R34" s="69" t="s">
        <v>262</v>
      </c>
      <c r="S34" s="62">
        <v>44</v>
      </c>
      <c r="T34" s="25" t="s">
        <v>161</v>
      </c>
      <c r="U34" s="14" t="s">
        <v>41</v>
      </c>
      <c r="V34" s="25" t="s">
        <v>42</v>
      </c>
      <c r="W34" s="25" t="s">
        <v>263</v>
      </c>
      <c r="X34" s="25"/>
      <c r="Y34" s="25" t="s">
        <v>54</v>
      </c>
      <c r="Z34" s="25" t="s">
        <v>41</v>
      </c>
      <c r="AA34" s="14"/>
      <c r="AB34" s="14"/>
    </row>
    <row r="35" customHeight="1" spans="1:28">
      <c r="A35" s="13">
        <v>34</v>
      </c>
      <c r="B35" s="14" t="s">
        <v>264</v>
      </c>
      <c r="C35" s="15">
        <v>45957</v>
      </c>
      <c r="D35" s="14" t="s">
        <v>30</v>
      </c>
      <c r="E35" s="14" t="s">
        <v>31</v>
      </c>
      <c r="F35" s="14" t="s">
        <v>72</v>
      </c>
      <c r="G35" s="14" t="s">
        <v>96</v>
      </c>
      <c r="H35" s="14" t="s">
        <v>265</v>
      </c>
      <c r="I35" s="14" t="s">
        <v>266</v>
      </c>
      <c r="J35" s="44" t="str">
        <f>_xlfn.XLOOKUP(H35,班组推进者!D:D,班组推进者!H:H,0)</f>
        <v>谭咏杰</v>
      </c>
      <c r="K35" s="44" t="str">
        <f>_xlfn.XLOOKUP(H35,班组推进者!D:D,班组推进者!I:I,0)</f>
        <v>张晨雨</v>
      </c>
      <c r="L35" s="14"/>
      <c r="M35" s="14"/>
      <c r="N35" s="14" t="s">
        <v>36</v>
      </c>
      <c r="O35" s="44">
        <f>_xlfn.XLOOKUP(H:H,[1]班组信息!$D:$D,[1]班组信息!$L:$L,0)</f>
        <v>33</v>
      </c>
      <c r="P35" s="14" t="s">
        <v>267</v>
      </c>
      <c r="Q35" s="14" t="s">
        <v>50</v>
      </c>
      <c r="R35" s="69" t="s">
        <v>268</v>
      </c>
      <c r="S35" s="62">
        <v>38</v>
      </c>
      <c r="T35" s="25" t="s">
        <v>139</v>
      </c>
      <c r="U35" s="14" t="s">
        <v>41</v>
      </c>
      <c r="V35" s="25" t="s">
        <v>42</v>
      </c>
      <c r="W35" s="15">
        <v>45892</v>
      </c>
      <c r="X35" s="25"/>
      <c r="Y35" s="25" t="s">
        <v>54</v>
      </c>
      <c r="Z35" s="25" t="s">
        <v>41</v>
      </c>
      <c r="AA35" s="14"/>
      <c r="AB35" s="14"/>
    </row>
    <row r="36" customHeight="1" spans="1:28">
      <c r="A36" s="42">
        <v>35</v>
      </c>
      <c r="B36" s="14" t="s">
        <v>269</v>
      </c>
      <c r="C36" s="15">
        <v>45961</v>
      </c>
      <c r="D36" s="14" t="s">
        <v>30</v>
      </c>
      <c r="E36" s="14" t="s">
        <v>31</v>
      </c>
      <c r="F36" s="14" t="s">
        <v>198</v>
      </c>
      <c r="G36" s="14" t="s">
        <v>199</v>
      </c>
      <c r="H36" s="46" t="s">
        <v>270</v>
      </c>
      <c r="I36" s="14" t="s">
        <v>271</v>
      </c>
      <c r="J36" s="44" t="str">
        <f>_xlfn.XLOOKUP(H36,班组推进者!D:D,班组推进者!H:H,0)</f>
        <v>何贵华</v>
      </c>
      <c r="K36" s="44" t="str">
        <f>_xlfn.XLOOKUP(H36,班组推进者!D:D,班组推进者!I:I,0)</f>
        <v>朱凡康</v>
      </c>
      <c r="L36" s="14"/>
      <c r="M36" s="14"/>
      <c r="N36" s="14" t="s">
        <v>36</v>
      </c>
      <c r="O36" s="44">
        <f>_xlfn.XLOOKUP(H:H,[1]班组信息!$D:$D,[1]班组信息!$L:$L,0)</f>
        <v>27</v>
      </c>
      <c r="P36" s="14" t="s">
        <v>272</v>
      </c>
      <c r="Q36" s="14" t="s">
        <v>50</v>
      </c>
      <c r="R36" s="14" t="s">
        <v>273</v>
      </c>
      <c r="S36" s="62">
        <v>57</v>
      </c>
      <c r="T36" s="25" t="s">
        <v>152</v>
      </c>
      <c r="U36" s="14" t="s">
        <v>41</v>
      </c>
      <c r="V36" s="25" t="s">
        <v>42</v>
      </c>
      <c r="W36" s="15">
        <v>45914</v>
      </c>
      <c r="X36" s="25" t="s">
        <v>46</v>
      </c>
      <c r="Y36" s="25" t="s">
        <v>54</v>
      </c>
      <c r="Z36" s="25" t="s">
        <v>41</v>
      </c>
      <c r="AA36" s="14"/>
      <c r="AB36" s="14"/>
    </row>
    <row r="37" customHeight="1" spans="1:28">
      <c r="A37" s="13">
        <v>36</v>
      </c>
      <c r="B37" s="14" t="s">
        <v>274</v>
      </c>
      <c r="C37" s="15">
        <v>45981</v>
      </c>
      <c r="D37" s="14" t="s">
        <v>30</v>
      </c>
      <c r="E37" s="14" t="s">
        <v>103</v>
      </c>
      <c r="F37" s="14" t="s">
        <v>104</v>
      </c>
      <c r="G37" s="14" t="s">
        <v>105</v>
      </c>
      <c r="H37" s="14" t="s">
        <v>275</v>
      </c>
      <c r="I37" s="14" t="s">
        <v>276</v>
      </c>
      <c r="J37" s="44" t="str">
        <f>_xlfn.XLOOKUP(H37,班组推进者!D:D,班组推进者!H:H,0)</f>
        <v>徐官保</v>
      </c>
      <c r="K37" s="44" t="str">
        <f>_xlfn.XLOOKUP(H37,班组推进者!D:D,班组推进者!I:I,0)</f>
        <v>谭小飞</v>
      </c>
      <c r="L37" s="14"/>
      <c r="M37" s="14"/>
      <c r="N37" s="14" t="s">
        <v>36</v>
      </c>
      <c r="O37" s="44">
        <f>_xlfn.XLOOKUP(H:H,[1]班组信息!$D:$D,[1]班组信息!$L:$L,0)</f>
        <v>11</v>
      </c>
      <c r="P37" s="14" t="s">
        <v>277</v>
      </c>
      <c r="Q37" s="14" t="s">
        <v>50</v>
      </c>
      <c r="R37" s="69" t="s">
        <v>278</v>
      </c>
      <c r="S37" s="21">
        <f ca="1" t="array" ref="S37">_xlfn.IFS(LEN(R37)=15,DATEDIF(TEXT("19"&amp;MID(R37,7,6),"0-00-00"),TODAY(),"y"),LEN(R37)=18,DATEDIF(TEXT(MID(R37,7,8),"0-00-00"),TODAY(),"y"),TRUE,"身份证错误")</f>
        <v>43</v>
      </c>
      <c r="T37" s="14" t="s">
        <v>279</v>
      </c>
      <c r="U37" s="14" t="s">
        <v>41</v>
      </c>
      <c r="V37" s="14" t="s">
        <v>42</v>
      </c>
      <c r="W37" s="14" t="s">
        <v>280</v>
      </c>
      <c r="X37" s="14"/>
      <c r="Y37" s="14" t="s">
        <v>54</v>
      </c>
      <c r="Z37" s="14" t="s">
        <v>41</v>
      </c>
      <c r="AA37" s="14"/>
      <c r="AB37" s="14"/>
    </row>
    <row r="38" customHeight="1" spans="1:28">
      <c r="A38" s="42">
        <v>37</v>
      </c>
      <c r="B38" s="14" t="s">
        <v>281</v>
      </c>
      <c r="C38" s="15">
        <v>46011</v>
      </c>
      <c r="D38" s="14" t="s">
        <v>30</v>
      </c>
      <c r="E38" s="15" t="s">
        <v>31</v>
      </c>
      <c r="F38" s="15" t="s">
        <v>72</v>
      </c>
      <c r="G38" s="14" t="s">
        <v>282</v>
      </c>
      <c r="H38" s="15" t="s">
        <v>283</v>
      </c>
      <c r="I38" s="15" t="s">
        <v>284</v>
      </c>
      <c r="J38" s="44" t="str">
        <f>_xlfn.XLOOKUP(H38,班组推进者!D:D,班组推进者!H:H,0)</f>
        <v>陈柱旭</v>
      </c>
      <c r="K38" s="44" t="str">
        <f>_xlfn.XLOOKUP(H38,班组推进者!D:D,班组推进者!I:I,0)</f>
        <v>陈柱旭</v>
      </c>
      <c r="L38" s="15"/>
      <c r="M38" s="15"/>
      <c r="N38" s="15" t="s">
        <v>36</v>
      </c>
      <c r="O38" s="44">
        <f>_xlfn.XLOOKUP(H:H,[1]班组信息!$D:$D,[1]班组信息!$L:$L,0)</f>
        <v>7</v>
      </c>
      <c r="P38" s="25" t="s">
        <v>285</v>
      </c>
      <c r="Q38" s="23" t="s">
        <v>38</v>
      </c>
      <c r="R38" s="70" t="s">
        <v>286</v>
      </c>
      <c r="S38" s="62">
        <v>51</v>
      </c>
      <c r="T38" s="23" t="s">
        <v>287</v>
      </c>
      <c r="U38" s="14" t="s">
        <v>41</v>
      </c>
      <c r="V38" s="23" t="s">
        <v>42</v>
      </c>
      <c r="W38" s="40">
        <v>45979</v>
      </c>
      <c r="X38" s="23"/>
      <c r="Y38" s="23" t="s">
        <v>54</v>
      </c>
      <c r="Z38" s="14" t="s">
        <v>41</v>
      </c>
      <c r="AA38" s="14"/>
      <c r="AB38" s="14"/>
    </row>
    <row r="39" customHeight="1" spans="1:28">
      <c r="A39" s="13">
        <v>38</v>
      </c>
      <c r="B39" s="14" t="s">
        <v>288</v>
      </c>
      <c r="C39" s="15">
        <v>45994</v>
      </c>
      <c r="D39" s="14" t="s">
        <v>30</v>
      </c>
      <c r="E39" s="15" t="s">
        <v>88</v>
      </c>
      <c r="F39" s="15" t="s">
        <v>163</v>
      </c>
      <c r="G39" s="15" t="s">
        <v>164</v>
      </c>
      <c r="H39" s="15" t="s">
        <v>289</v>
      </c>
      <c r="I39" s="15" t="s">
        <v>290</v>
      </c>
      <c r="J39" s="44" t="str">
        <f>_xlfn.XLOOKUP(H39,班组推进者!D:D,班组推进者!H:H,0)</f>
        <v>甘昌锦</v>
      </c>
      <c r="K39" s="44" t="str">
        <f>_xlfn.XLOOKUP(H39,班组推进者!D:D,班组推进者!I:I,0)</f>
        <v>李煊民</v>
      </c>
      <c r="L39" s="15"/>
      <c r="M39" s="15"/>
      <c r="N39" s="15" t="s">
        <v>36</v>
      </c>
      <c r="O39" s="44">
        <f>_xlfn.XLOOKUP(H:H,[1]班组信息!$D:$D,[1]班组信息!$L:$L,0)</f>
        <v>34</v>
      </c>
      <c r="P39" s="23" t="s">
        <v>291</v>
      </c>
      <c r="Q39" s="23" t="s">
        <v>50</v>
      </c>
      <c r="R39" s="72" t="s">
        <v>292</v>
      </c>
      <c r="S39" s="63">
        <v>37</v>
      </c>
      <c r="T39" s="23" t="s">
        <v>293</v>
      </c>
      <c r="U39" s="14" t="s">
        <v>41</v>
      </c>
      <c r="V39" s="23" t="s">
        <v>42</v>
      </c>
      <c r="W39" s="40">
        <v>45994</v>
      </c>
      <c r="X39" s="23"/>
      <c r="Y39" s="23" t="s">
        <v>54</v>
      </c>
      <c r="Z39" s="14" t="s">
        <v>41</v>
      </c>
      <c r="AA39" s="14"/>
      <c r="AB39" s="14"/>
    </row>
    <row r="40" customHeight="1" spans="1:28">
      <c r="A40" s="42">
        <v>39</v>
      </c>
      <c r="B40" s="14" t="s">
        <v>294</v>
      </c>
      <c r="C40" s="15">
        <v>46001</v>
      </c>
      <c r="D40" s="14" t="s">
        <v>30</v>
      </c>
      <c r="E40" s="14" t="s">
        <v>31</v>
      </c>
      <c r="F40" s="14" t="s">
        <v>295</v>
      </c>
      <c r="G40" s="14" t="s">
        <v>296</v>
      </c>
      <c r="H40" s="14" t="s">
        <v>297</v>
      </c>
      <c r="I40" s="14" t="s">
        <v>298</v>
      </c>
      <c r="J40" s="44" t="str">
        <f>_xlfn.XLOOKUP(H40,班组推进者!D:D,班组推进者!H:H,0)</f>
        <v>宁凯</v>
      </c>
      <c r="K40" s="44" t="str">
        <f>_xlfn.XLOOKUP(H40,班组推进者!D:D,班组推进者!I:I,0)</f>
        <v>桂杨</v>
      </c>
      <c r="L40" s="14"/>
      <c r="M40" s="14"/>
      <c r="N40" s="14" t="s">
        <v>36</v>
      </c>
      <c r="O40" s="44">
        <f>_xlfn.XLOOKUP(H:H,[1]班组信息!$D:$D,[1]班组信息!$L:$L,0)</f>
        <v>7</v>
      </c>
      <c r="P40" s="15" t="s">
        <v>299</v>
      </c>
      <c r="Q40" s="15" t="s">
        <v>50</v>
      </c>
      <c r="R40" s="15" t="s">
        <v>300</v>
      </c>
      <c r="S40" s="21">
        <v>24</v>
      </c>
      <c r="T40" s="15" t="s">
        <v>301</v>
      </c>
      <c r="U40" s="14" t="s">
        <v>41</v>
      </c>
      <c r="V40" s="23" t="s">
        <v>42</v>
      </c>
      <c r="W40" s="15" t="s">
        <v>302</v>
      </c>
      <c r="X40" s="23"/>
      <c r="Y40" s="23" t="s">
        <v>54</v>
      </c>
      <c r="Z40" s="14" t="s">
        <v>41</v>
      </c>
      <c r="AA40" s="14"/>
      <c r="AB40" s="14"/>
    </row>
    <row r="41" customHeight="1" spans="1:28">
      <c r="A41" s="13">
        <v>40</v>
      </c>
      <c r="B41" s="14" t="s">
        <v>303</v>
      </c>
      <c r="C41" s="15">
        <v>46011</v>
      </c>
      <c r="D41" s="14" t="s">
        <v>30</v>
      </c>
      <c r="E41" s="14" t="s">
        <v>88</v>
      </c>
      <c r="F41" s="14" t="s">
        <v>65</v>
      </c>
      <c r="G41" s="14" t="s">
        <v>46</v>
      </c>
      <c r="H41" s="14" t="s">
        <v>304</v>
      </c>
      <c r="I41" s="14" t="s">
        <v>305</v>
      </c>
      <c r="J41" s="44" t="str">
        <f>_xlfn.XLOOKUP(H41,班组推进者!D:D,班组推进者!H:H,0)</f>
        <v>李波</v>
      </c>
      <c r="K41" s="44" t="str">
        <f>_xlfn.XLOOKUP(H41,班组推进者!D:D,班组推进者!I:I,0)</f>
        <v>吴玮彬</v>
      </c>
      <c r="L41" s="14"/>
      <c r="M41" s="14"/>
      <c r="N41" s="14" t="s">
        <v>36</v>
      </c>
      <c r="O41" s="44">
        <f>_xlfn.XLOOKUP(H:H,[1]班组信息!$D:$D,[1]班组信息!$L:$L,0)</f>
        <v>27</v>
      </c>
      <c r="P41" s="15" t="s">
        <v>306</v>
      </c>
      <c r="Q41" s="15" t="s">
        <v>50</v>
      </c>
      <c r="R41" s="73" t="s">
        <v>307</v>
      </c>
      <c r="S41" s="21" t="s">
        <v>308</v>
      </c>
      <c r="T41" s="15" t="s">
        <v>93</v>
      </c>
      <c r="U41" s="14" t="s">
        <v>41</v>
      </c>
      <c r="V41" s="25" t="s">
        <v>53</v>
      </c>
      <c r="W41" s="40">
        <v>46009</v>
      </c>
      <c r="X41" s="25" t="s">
        <v>46</v>
      </c>
      <c r="Y41" s="25" t="s">
        <v>54</v>
      </c>
      <c r="Z41" s="25" t="s">
        <v>41</v>
      </c>
      <c r="AA41" s="14"/>
      <c r="AB41" s="14"/>
    </row>
    <row r="42" customHeight="1" spans="1:28">
      <c r="A42" s="42">
        <v>41</v>
      </c>
      <c r="B42" s="14" t="s">
        <v>309</v>
      </c>
      <c r="C42" s="15">
        <v>46011</v>
      </c>
      <c r="D42" s="14" t="s">
        <v>30</v>
      </c>
      <c r="E42" s="14" t="s">
        <v>88</v>
      </c>
      <c r="F42" s="14" t="s">
        <v>65</v>
      </c>
      <c r="G42" s="14" t="s">
        <v>46</v>
      </c>
      <c r="H42" s="14" t="s">
        <v>310</v>
      </c>
      <c r="I42" s="14" t="s">
        <v>311</v>
      </c>
      <c r="J42" s="44" t="str">
        <f>_xlfn.XLOOKUP(H42,班组推进者!D:D,班组推进者!H:H,0)</f>
        <v>李波</v>
      </c>
      <c r="K42" s="44" t="str">
        <f>_xlfn.XLOOKUP(H42,班组推进者!D:D,班组推进者!I:I,0)</f>
        <v>吴玮彬</v>
      </c>
      <c r="L42" s="14"/>
      <c r="M42" s="14"/>
      <c r="N42" s="14" t="s">
        <v>36</v>
      </c>
      <c r="O42" s="44">
        <f>_xlfn.XLOOKUP(H:H,[1]班组信息!$D:$D,[1]班组信息!$L:$L,0)</f>
        <v>8</v>
      </c>
      <c r="P42" s="15" t="s">
        <v>312</v>
      </c>
      <c r="Q42" s="15" t="s">
        <v>50</v>
      </c>
      <c r="R42" s="73" t="s">
        <v>313</v>
      </c>
      <c r="S42" s="21" t="s">
        <v>314</v>
      </c>
      <c r="T42" s="15" t="s">
        <v>93</v>
      </c>
      <c r="U42" s="14" t="s">
        <v>41</v>
      </c>
      <c r="V42" s="25" t="s">
        <v>53</v>
      </c>
      <c r="W42" s="40">
        <v>46009</v>
      </c>
      <c r="X42" s="25" t="s">
        <v>46</v>
      </c>
      <c r="Y42" s="25" t="s">
        <v>54</v>
      </c>
      <c r="Z42" s="25" t="s">
        <v>41</v>
      </c>
      <c r="AA42" s="14"/>
      <c r="AB42" s="14"/>
    </row>
    <row r="43" customHeight="1" spans="1:28">
      <c r="A43" s="13">
        <v>42</v>
      </c>
      <c r="B43" s="14" t="s">
        <v>315</v>
      </c>
      <c r="C43" s="15">
        <v>46024</v>
      </c>
      <c r="D43" s="14" t="s">
        <v>30</v>
      </c>
      <c r="E43" s="14" t="s">
        <v>31</v>
      </c>
      <c r="F43" s="14" t="s">
        <v>72</v>
      </c>
      <c r="G43" s="14" t="s">
        <v>282</v>
      </c>
      <c r="H43" s="14" t="s">
        <v>316</v>
      </c>
      <c r="I43" s="14" t="s">
        <v>317</v>
      </c>
      <c r="J43" s="44" t="str">
        <f>_xlfn.XLOOKUP(H43,班组推进者!D:D,班组推进者!H:H,0)</f>
        <v>王奋泽</v>
      </c>
      <c r="K43" s="44" t="str">
        <f>_xlfn.XLOOKUP(H43,班组推进者!D:D,班组推进者!I:I,0)</f>
        <v>唐星民</v>
      </c>
      <c r="L43" s="14"/>
      <c r="M43" s="14"/>
      <c r="N43" s="14" t="s">
        <v>36</v>
      </c>
      <c r="O43" s="44">
        <f>_xlfn.XLOOKUP(H:H,[1]班组信息!$D:$D,[1]班组信息!$L:$L,0)</f>
        <v>30</v>
      </c>
      <c r="P43" s="15" t="s">
        <v>318</v>
      </c>
      <c r="Q43" s="15" t="s">
        <v>50</v>
      </c>
      <c r="R43" s="73" t="s">
        <v>319</v>
      </c>
      <c r="S43" s="21" t="s">
        <v>320</v>
      </c>
      <c r="T43" s="15" t="s">
        <v>139</v>
      </c>
      <c r="U43" s="14" t="s">
        <v>41</v>
      </c>
      <c r="V43" s="23" t="s">
        <v>42</v>
      </c>
      <c r="W43" s="22" t="s">
        <v>321</v>
      </c>
      <c r="X43" s="22"/>
      <c r="Y43" s="23" t="s">
        <v>54</v>
      </c>
      <c r="Z43" s="25" t="s">
        <v>41</v>
      </c>
      <c r="AA43" s="14"/>
      <c r="AB43" s="14"/>
    </row>
    <row r="44" customHeight="1" spans="1:28">
      <c r="A44" s="42">
        <v>43</v>
      </c>
      <c r="B44" s="14" t="s">
        <v>322</v>
      </c>
      <c r="C44" s="15">
        <v>46038</v>
      </c>
      <c r="D44" s="14" t="s">
        <v>30</v>
      </c>
      <c r="E44" s="14" t="s">
        <v>323</v>
      </c>
      <c r="F44" s="14" t="s">
        <v>72</v>
      </c>
      <c r="G44" s="14" t="s">
        <v>282</v>
      </c>
      <c r="H44" s="14" t="s">
        <v>324</v>
      </c>
      <c r="I44" s="14" t="s">
        <v>325</v>
      </c>
      <c r="J44" s="44" t="str">
        <f>_xlfn.XLOOKUP(H44,班组推进者!D:D,班组推进者!H:H,0)</f>
        <v>张翔、段龙飞</v>
      </c>
      <c r="K44" s="44" t="str">
        <f>_xlfn.XLOOKUP(H44,班组推进者!D:D,班组推进者!I:I,0)</f>
        <v>刘友三</v>
      </c>
      <c r="L44" s="14"/>
      <c r="M44" s="14"/>
      <c r="N44" s="14" t="s">
        <v>36</v>
      </c>
      <c r="O44" s="44">
        <f>_xlfn.XLOOKUP(H:H,[1]班组信息!$D:$D,[1]班组信息!$L:$L,0)</f>
        <v>16</v>
      </c>
      <c r="P44" s="15" t="s">
        <v>326</v>
      </c>
      <c r="Q44" s="15" t="s">
        <v>50</v>
      </c>
      <c r="R44" s="73" t="s">
        <v>327</v>
      </c>
      <c r="S44" s="21" t="s">
        <v>328</v>
      </c>
      <c r="T44" s="15" t="s">
        <v>139</v>
      </c>
      <c r="U44" s="14" t="s">
        <v>41</v>
      </c>
      <c r="V44" s="23" t="s">
        <v>42</v>
      </c>
      <c r="W44" s="22" t="s">
        <v>329</v>
      </c>
      <c r="X44" s="22"/>
      <c r="Y44" s="23" t="s">
        <v>54</v>
      </c>
      <c r="Z44" s="25" t="s">
        <v>41</v>
      </c>
      <c r="AA44" s="14"/>
      <c r="AB44" s="14"/>
    </row>
    <row r="45" customHeight="1" spans="1:28">
      <c r="A45" s="13">
        <v>44</v>
      </c>
      <c r="B45" s="14" t="s">
        <v>330</v>
      </c>
      <c r="C45" s="15">
        <v>46097</v>
      </c>
      <c r="D45" s="14" t="s">
        <v>30</v>
      </c>
      <c r="E45" s="14" t="s">
        <v>331</v>
      </c>
      <c r="F45" s="14" t="s">
        <v>72</v>
      </c>
      <c r="G45" s="14" t="s">
        <v>282</v>
      </c>
      <c r="H45" s="15" t="s">
        <v>332</v>
      </c>
      <c r="I45" s="14" t="s">
        <v>333</v>
      </c>
      <c r="J45" s="44" t="str">
        <f>_xlfn.XLOOKUP(H45,班组推进者!D:D,班组推进者!H:H,0)</f>
        <v>黄龙骄</v>
      </c>
      <c r="K45" s="44" t="str">
        <f>_xlfn.XLOOKUP(H45,班组推进者!D:D,班组推进者!I:I,0)</f>
        <v>蓝竫熙</v>
      </c>
      <c r="L45" s="14"/>
      <c r="M45" s="14"/>
      <c r="N45" s="15" t="s">
        <v>36</v>
      </c>
      <c r="O45" s="44">
        <f>_xlfn.XLOOKUP(H:H,[1]班组信息!$D:$D,[1]班组信息!$L:$L,0)</f>
        <v>33</v>
      </c>
      <c r="P45" s="15" t="s">
        <v>334</v>
      </c>
      <c r="Q45" s="15" t="s">
        <v>50</v>
      </c>
      <c r="R45" s="73" t="s">
        <v>335</v>
      </c>
      <c r="S45" s="21" t="s">
        <v>336</v>
      </c>
      <c r="T45" s="15" t="s">
        <v>129</v>
      </c>
      <c r="U45" s="14" t="s">
        <v>41</v>
      </c>
      <c r="V45" s="14" t="s">
        <v>42</v>
      </c>
      <c r="W45" s="14" t="s">
        <v>337</v>
      </c>
      <c r="X45" s="15"/>
      <c r="Y45" s="14" t="s">
        <v>54</v>
      </c>
      <c r="Z45" s="14" t="s">
        <v>41</v>
      </c>
      <c r="AA45" s="14"/>
      <c r="AB45" s="14"/>
    </row>
    <row r="46" customHeight="1" spans="1:28">
      <c r="A46" s="42">
        <v>45</v>
      </c>
      <c r="B46" s="14" t="s">
        <v>338</v>
      </c>
      <c r="C46" s="15">
        <v>46098</v>
      </c>
      <c r="D46" s="14" t="s">
        <v>30</v>
      </c>
      <c r="E46" s="14" t="s">
        <v>31</v>
      </c>
      <c r="F46" s="14" t="s">
        <v>198</v>
      </c>
      <c r="G46" s="14" t="s">
        <v>199</v>
      </c>
      <c r="H46" s="15" t="s">
        <v>339</v>
      </c>
      <c r="I46" s="14" t="s">
        <v>340</v>
      </c>
      <c r="J46" s="44" t="str">
        <f>_xlfn.XLOOKUP(H46,班组推进者!D:D,班组推进者!H:H,0)</f>
        <v>杨建平</v>
      </c>
      <c r="K46" s="44" t="str">
        <f>_xlfn.XLOOKUP(H46,班组推进者!D:D,班组推进者!I:I,0)</f>
        <v>宁以源</v>
      </c>
      <c r="L46" s="14"/>
      <c r="M46" s="14"/>
      <c r="N46" s="15" t="s">
        <v>36</v>
      </c>
      <c r="O46" s="44">
        <f>_xlfn.XLOOKUP(H:H,[1]班组信息!$D:$D,[1]班组信息!$L:$L,0)</f>
        <v>37</v>
      </c>
      <c r="P46" s="15" t="s">
        <v>341</v>
      </c>
      <c r="Q46" s="15" t="s">
        <v>50</v>
      </c>
      <c r="R46" s="15" t="s">
        <v>342</v>
      </c>
      <c r="S46" s="21" t="s">
        <v>343</v>
      </c>
      <c r="T46" s="15" t="s">
        <v>129</v>
      </c>
      <c r="U46" s="14" t="s">
        <v>41</v>
      </c>
      <c r="V46" s="14" t="s">
        <v>42</v>
      </c>
      <c r="W46" s="14" t="s">
        <v>344</v>
      </c>
      <c r="X46" s="15"/>
      <c r="Y46" s="14" t="s">
        <v>54</v>
      </c>
      <c r="Z46" s="14" t="s">
        <v>41</v>
      </c>
      <c r="AA46" s="14"/>
      <c r="AB46" s="14"/>
    </row>
    <row r="47" customHeight="1" spans="1:28">
      <c r="A47" s="13">
        <v>46</v>
      </c>
      <c r="B47" s="14" t="s">
        <v>345</v>
      </c>
      <c r="C47" s="15">
        <v>46098</v>
      </c>
      <c r="D47" s="14" t="s">
        <v>30</v>
      </c>
      <c r="E47" s="14" t="s">
        <v>132</v>
      </c>
      <c r="F47" s="14" t="s">
        <v>133</v>
      </c>
      <c r="G47" s="14" t="s">
        <v>346</v>
      </c>
      <c r="H47" s="15" t="s">
        <v>347</v>
      </c>
      <c r="I47" s="14" t="s">
        <v>348</v>
      </c>
      <c r="J47" s="44" t="str">
        <f>_xlfn.XLOOKUP(H47,班组推进者!D:D,班组推进者!H:H,0)</f>
        <v>尉良玉</v>
      </c>
      <c r="K47" s="44" t="str">
        <f>_xlfn.XLOOKUP(H47,班组推进者!D:D,班组推进者!I:I,0)</f>
        <v>李煊民</v>
      </c>
      <c r="L47" s="14"/>
      <c r="M47" s="14"/>
      <c r="N47" s="50" t="s">
        <v>36</v>
      </c>
      <c r="O47" s="44">
        <f>_xlfn.XLOOKUP(H:H,[1]班组信息!$D:$D,[1]班组信息!$L:$L,0)</f>
        <v>30</v>
      </c>
      <c r="P47" s="51" t="s">
        <v>349</v>
      </c>
      <c r="Q47" s="51" t="s">
        <v>50</v>
      </c>
      <c r="R47" s="74" t="s">
        <v>350</v>
      </c>
      <c r="S47" s="64">
        <v>40</v>
      </c>
      <c r="T47" s="51" t="s">
        <v>129</v>
      </c>
      <c r="U47" s="51" t="s">
        <v>41</v>
      </c>
      <c r="V47" s="51" t="s">
        <v>42</v>
      </c>
      <c r="W47" s="51" t="s">
        <v>337</v>
      </c>
      <c r="X47" s="50"/>
      <c r="Y47" s="51" t="s">
        <v>54</v>
      </c>
      <c r="Z47" s="51" t="s">
        <v>41</v>
      </c>
      <c r="AA47" s="51"/>
      <c r="AB47" s="51"/>
    </row>
    <row r="48" customHeight="1" spans="1:28">
      <c r="A48" s="42">
        <v>47</v>
      </c>
      <c r="B48" s="14" t="s">
        <v>351</v>
      </c>
      <c r="C48" s="15">
        <v>46100</v>
      </c>
      <c r="D48" s="14" t="s">
        <v>30</v>
      </c>
      <c r="E48" s="14" t="s">
        <v>31</v>
      </c>
      <c r="F48" s="14" t="s">
        <v>210</v>
      </c>
      <c r="G48" s="14" t="s">
        <v>211</v>
      </c>
      <c r="H48" s="14" t="s">
        <v>352</v>
      </c>
      <c r="I48" s="14" t="s">
        <v>353</v>
      </c>
      <c r="J48" s="44" t="str">
        <f>_xlfn.XLOOKUP(H48,班组推进者!D:D,班组推进者!H:H,0)</f>
        <v>韩雨泽</v>
      </c>
      <c r="K48" s="44" t="str">
        <f>_xlfn.XLOOKUP(H48,班组推进者!D:D,班组推进者!I:I,0)</f>
        <v>朱凡康</v>
      </c>
      <c r="L48" s="52"/>
      <c r="M48" s="53"/>
      <c r="N48" s="14" t="s">
        <v>36</v>
      </c>
      <c r="O48" s="44">
        <f>_xlfn.XLOOKUP(H:H,[1]班组信息!$D:$D,[1]班组信息!$L:$L,0)</f>
        <v>35</v>
      </c>
      <c r="P48" s="14" t="s">
        <v>354</v>
      </c>
      <c r="Q48" s="14" t="s">
        <v>50</v>
      </c>
      <c r="R48" s="69" t="s">
        <v>355</v>
      </c>
      <c r="S48" s="21">
        <v>43</v>
      </c>
      <c r="T48" s="14" t="s">
        <v>129</v>
      </c>
      <c r="U48" s="14" t="s">
        <v>41</v>
      </c>
      <c r="V48" s="14" t="s">
        <v>42</v>
      </c>
      <c r="W48" s="14" t="s">
        <v>356</v>
      </c>
      <c r="X48" s="22"/>
      <c r="Y48" s="14" t="s">
        <v>54</v>
      </c>
      <c r="Z48" s="14" t="s">
        <v>41</v>
      </c>
      <c r="AA48" s="14"/>
      <c r="AB48" s="14"/>
    </row>
    <row r="49" customHeight="1" spans="1:28">
      <c r="A49" s="13">
        <v>48</v>
      </c>
      <c r="B49" s="14" t="s">
        <v>357</v>
      </c>
      <c r="C49" s="15">
        <v>46100</v>
      </c>
      <c r="D49" s="14" t="s">
        <v>30</v>
      </c>
      <c r="E49" s="14" t="s">
        <v>88</v>
      </c>
      <c r="F49" s="14" t="s">
        <v>177</v>
      </c>
      <c r="G49" s="14" t="s">
        <v>178</v>
      </c>
      <c r="H49" s="14" t="s">
        <v>358</v>
      </c>
      <c r="I49" s="14" t="s">
        <v>359</v>
      </c>
      <c r="J49" s="44" t="str">
        <f>_xlfn.XLOOKUP(H49,班组推进者!D:D,班组推进者!H:H,0)</f>
        <v>吴存联</v>
      </c>
      <c r="K49" s="44" t="str">
        <f>_xlfn.XLOOKUP(H49,班组推进者!D:D,班组推进者!I:I,0)</f>
        <v>吴玮彬</v>
      </c>
      <c r="L49" s="14"/>
      <c r="M49" s="17"/>
      <c r="N49" s="14" t="s">
        <v>36</v>
      </c>
      <c r="O49" s="44">
        <f>_xlfn.XLOOKUP(H:H,[1]班组信息!$D:$D,[1]班组信息!$L:$L,0)</f>
        <v>11</v>
      </c>
      <c r="P49" s="14" t="s">
        <v>360</v>
      </c>
      <c r="Q49" s="14" t="s">
        <v>50</v>
      </c>
      <c r="R49" s="70" t="s">
        <v>361</v>
      </c>
      <c r="S49" s="21">
        <v>53</v>
      </c>
      <c r="T49" s="14" t="s">
        <v>161</v>
      </c>
      <c r="U49" s="14" t="s">
        <v>41</v>
      </c>
      <c r="V49" s="17" t="s">
        <v>42</v>
      </c>
      <c r="W49" s="15">
        <v>46100</v>
      </c>
      <c r="X49" s="22"/>
      <c r="Y49" s="14" t="s">
        <v>54</v>
      </c>
      <c r="Z49" s="14" t="s">
        <v>41</v>
      </c>
      <c r="AA49" s="14"/>
      <c r="AB49" s="14"/>
    </row>
    <row r="50" customHeight="1" spans="1:28">
      <c r="A50" s="13">
        <v>49</v>
      </c>
      <c r="B50" s="14" t="s">
        <v>362</v>
      </c>
      <c r="C50" s="15">
        <v>46104</v>
      </c>
      <c r="D50" s="14" t="s">
        <v>30</v>
      </c>
      <c r="E50" s="14" t="s">
        <v>331</v>
      </c>
      <c r="F50" s="14" t="s">
        <v>72</v>
      </c>
      <c r="G50" s="14" t="s">
        <v>363</v>
      </c>
      <c r="H50" s="14" t="s">
        <v>364</v>
      </c>
      <c r="I50" s="14" t="s">
        <v>365</v>
      </c>
      <c r="J50" s="44" t="str">
        <f>_xlfn.XLOOKUP(H50,班组推进者!D:D,班组推进者!H:H,0)</f>
        <v>黄龙骄</v>
      </c>
      <c r="K50" s="44" t="str">
        <f>_xlfn.XLOOKUP(H50,班组推进者!D:D,班组推进者!I:I,0)</f>
        <v>蓝竫熙</v>
      </c>
      <c r="L50" s="14"/>
      <c r="M50" s="17"/>
      <c r="N50" s="14" t="s">
        <v>36</v>
      </c>
      <c r="O50" s="44">
        <f>_xlfn.XLOOKUP(H:H,[1]班组信息!$D:$D,[1]班组信息!$L:$L,0)</f>
        <v>20</v>
      </c>
      <c r="P50" s="14" t="s">
        <v>366</v>
      </c>
      <c r="Q50" s="14" t="s">
        <v>50</v>
      </c>
      <c r="R50" s="69" t="s">
        <v>367</v>
      </c>
      <c r="S50" s="21">
        <v>52</v>
      </c>
      <c r="T50" s="14" t="s">
        <v>152</v>
      </c>
      <c r="U50" s="14" t="s">
        <v>41</v>
      </c>
      <c r="V50" s="17" t="s">
        <v>42</v>
      </c>
      <c r="W50" s="15">
        <v>46086</v>
      </c>
      <c r="X50" s="22"/>
      <c r="Y50" s="14" t="s">
        <v>54</v>
      </c>
      <c r="Z50" s="14" t="s">
        <v>41</v>
      </c>
      <c r="AA50" s="14"/>
      <c r="AB50" s="14"/>
    </row>
    <row r="51" customHeight="1" spans="1:28">
      <c r="A51" s="13">
        <v>50</v>
      </c>
      <c r="B51" s="14" t="s">
        <v>368</v>
      </c>
      <c r="C51" s="15">
        <v>46112</v>
      </c>
      <c r="D51" s="14" t="s">
        <v>30</v>
      </c>
      <c r="E51" s="14" t="s">
        <v>64</v>
      </c>
      <c r="F51" s="14" t="s">
        <v>177</v>
      </c>
      <c r="G51" s="14" t="s">
        <v>178</v>
      </c>
      <c r="H51" s="14" t="s">
        <v>369</v>
      </c>
      <c r="I51" s="14" t="s">
        <v>370</v>
      </c>
      <c r="J51" s="44" t="str">
        <f>_xlfn.XLOOKUP(H51,班组推进者!D:D,班组推进者!H:H,0)</f>
        <v>黄治朝</v>
      </c>
      <c r="K51" s="44" t="str">
        <f>_xlfn.XLOOKUP(H51,班组推进者!D:D,班组推进者!I:I,0)</f>
        <v>李修</v>
      </c>
      <c r="L51" s="14"/>
      <c r="M51" s="17"/>
      <c r="N51" s="14" t="s">
        <v>36</v>
      </c>
      <c r="O51" s="44">
        <f>_xlfn.XLOOKUP(H:H,[1]班组信息!$D:$D,[1]班组信息!$L:$L,0)</f>
        <v>24</v>
      </c>
      <c r="P51" s="14" t="s">
        <v>371</v>
      </c>
      <c r="Q51" s="14" t="s">
        <v>50</v>
      </c>
      <c r="R51" s="69" t="s">
        <v>372</v>
      </c>
      <c r="S51" s="21">
        <v>39</v>
      </c>
      <c r="T51" s="14" t="s">
        <v>70</v>
      </c>
      <c r="U51" s="14" t="s">
        <v>41</v>
      </c>
      <c r="V51" s="17" t="s">
        <v>42</v>
      </c>
      <c r="W51" s="15">
        <v>46112</v>
      </c>
      <c r="X51" s="22"/>
      <c r="Y51" s="22" t="s">
        <v>54</v>
      </c>
      <c r="Z51" s="14" t="s">
        <v>41</v>
      </c>
      <c r="AA51" s="14"/>
      <c r="AB51" s="14"/>
    </row>
    <row r="52" customHeight="1" spans="1:28">
      <c r="A52" s="13">
        <v>51</v>
      </c>
      <c r="B52" s="14" t="s">
        <v>373</v>
      </c>
      <c r="C52" s="15">
        <v>46114</v>
      </c>
      <c r="D52" s="14" t="s">
        <v>30</v>
      </c>
      <c r="E52" s="14" t="s">
        <v>31</v>
      </c>
      <c r="F52" s="14" t="s">
        <v>198</v>
      </c>
      <c r="G52" s="14" t="s">
        <v>199</v>
      </c>
      <c r="H52" s="14" t="s">
        <v>374</v>
      </c>
      <c r="I52" s="14" t="s">
        <v>375</v>
      </c>
      <c r="J52" s="44" t="str">
        <f>_xlfn.XLOOKUP(H52,班组推进者!D:D,班组推进者!H:H,0)</f>
        <v>欧育顺</v>
      </c>
      <c r="K52" s="44" t="str">
        <f>_xlfn.XLOOKUP(H52,班组推进者!D:D,班组推进者!I:I,0)</f>
        <v>莫晓东</v>
      </c>
      <c r="L52" s="14"/>
      <c r="M52" s="17"/>
      <c r="N52" s="14" t="s">
        <v>36</v>
      </c>
      <c r="O52" s="44">
        <f>_xlfn.XLOOKUP(H:H,[1]班组信息!$D:$D,[1]班组信息!$L:$L,0)</f>
        <v>25</v>
      </c>
      <c r="P52" s="14" t="s">
        <v>376</v>
      </c>
      <c r="Q52" s="14" t="s">
        <v>50</v>
      </c>
      <c r="R52" s="69" t="s">
        <v>377</v>
      </c>
      <c r="S52" s="21">
        <v>36</v>
      </c>
      <c r="T52" s="14" t="s">
        <v>129</v>
      </c>
      <c r="U52" s="14" t="s">
        <v>41</v>
      </c>
      <c r="V52" s="17" t="s">
        <v>42</v>
      </c>
      <c r="W52" s="15">
        <v>46097</v>
      </c>
      <c r="X52" s="22"/>
      <c r="Y52" s="22" t="s">
        <v>54</v>
      </c>
      <c r="Z52" s="14" t="s">
        <v>41</v>
      </c>
      <c r="AA52" s="14"/>
      <c r="AB52" s="14"/>
    </row>
    <row r="53" customHeight="1" spans="1:28">
      <c r="A53" s="13">
        <v>52</v>
      </c>
      <c r="B53" s="14" t="s">
        <v>378</v>
      </c>
      <c r="C53" s="15">
        <v>46130</v>
      </c>
      <c r="D53" s="14" t="s">
        <v>30</v>
      </c>
      <c r="E53" s="14" t="s">
        <v>31</v>
      </c>
      <c r="F53" s="14" t="s">
        <v>198</v>
      </c>
      <c r="G53" s="14" t="s">
        <v>199</v>
      </c>
      <c r="H53" s="14" t="s">
        <v>379</v>
      </c>
      <c r="I53" s="18" t="s">
        <v>380</v>
      </c>
      <c r="J53" s="44" t="str">
        <f>_xlfn.XLOOKUP(H53,班组推进者!D:D,班组推进者!H:H,0)</f>
        <v>王奋泽</v>
      </c>
      <c r="K53" s="44" t="str">
        <f>_xlfn.XLOOKUP(H53,班组推进者!D:D,班组推进者!I:I,0)</f>
        <v>莫晓东</v>
      </c>
      <c r="L53" s="14"/>
      <c r="M53" s="17"/>
      <c r="N53" s="14" t="s">
        <v>36</v>
      </c>
      <c r="O53" s="44">
        <f>_xlfn.XLOOKUP(H:H,[1]班组信息!$D:$D,[1]班组信息!$L:$L,0)</f>
        <v>31</v>
      </c>
      <c r="P53" s="14" t="s">
        <v>381</v>
      </c>
      <c r="Q53" s="14" t="s">
        <v>50</v>
      </c>
      <c r="R53" s="69" t="s">
        <v>382</v>
      </c>
      <c r="S53" s="21">
        <v>50</v>
      </c>
      <c r="T53" s="14" t="s">
        <v>129</v>
      </c>
      <c r="U53" s="14" t="s">
        <v>41</v>
      </c>
      <c r="V53" s="14" t="s">
        <v>42</v>
      </c>
      <c r="W53" s="15">
        <v>46090</v>
      </c>
      <c r="X53" s="22"/>
      <c r="Y53" s="22" t="s">
        <v>54</v>
      </c>
      <c r="Z53" s="14" t="s">
        <v>41</v>
      </c>
      <c r="AA53" s="14"/>
      <c r="AB53" s="14"/>
    </row>
    <row r="54" customHeight="1" spans="1:28">
      <c r="A54" s="13">
        <v>53</v>
      </c>
      <c r="B54" s="14" t="s">
        <v>383</v>
      </c>
      <c r="C54" s="15">
        <v>46186</v>
      </c>
      <c r="D54" s="14" t="s">
        <v>30</v>
      </c>
      <c r="E54" s="14" t="s">
        <v>31</v>
      </c>
      <c r="F54" s="14" t="s">
        <v>72</v>
      </c>
      <c r="G54" s="14" t="s">
        <v>282</v>
      </c>
      <c r="H54" s="14" t="s">
        <v>384</v>
      </c>
      <c r="I54" s="14" t="s">
        <v>385</v>
      </c>
      <c r="J54" s="14" t="s">
        <v>386</v>
      </c>
      <c r="K54" s="14" t="s">
        <v>387</v>
      </c>
      <c r="L54" s="14"/>
      <c r="M54" s="17"/>
      <c r="N54" s="14" t="s">
        <v>36</v>
      </c>
      <c r="O54" s="14">
        <v>30</v>
      </c>
      <c r="P54" s="14" t="s">
        <v>388</v>
      </c>
      <c r="Q54" s="14" t="s">
        <v>50</v>
      </c>
      <c r="R54" s="69" t="s">
        <v>389</v>
      </c>
      <c r="S54" s="21" t="s">
        <v>390</v>
      </c>
      <c r="T54" s="14" t="s">
        <v>129</v>
      </c>
      <c r="U54" s="14" t="s">
        <v>41</v>
      </c>
      <c r="V54" s="14" t="s">
        <v>42</v>
      </c>
      <c r="W54" s="15">
        <v>46155</v>
      </c>
      <c r="X54" s="22"/>
      <c r="Y54" s="22" t="s">
        <v>54</v>
      </c>
      <c r="Z54" s="14" t="s">
        <v>41</v>
      </c>
      <c r="AA54" s="14"/>
      <c r="AB54" s="14"/>
    </row>
    <row r="55" customHeight="1" spans="1:28">
      <c r="A55" s="13">
        <v>54</v>
      </c>
      <c r="B55" s="14" t="s">
        <v>391</v>
      </c>
      <c r="C55" s="15">
        <v>46188</v>
      </c>
      <c r="D55" s="14" t="s">
        <v>30</v>
      </c>
      <c r="E55" s="14" t="s">
        <v>331</v>
      </c>
      <c r="F55" s="14" t="s">
        <v>392</v>
      </c>
      <c r="G55" s="14"/>
      <c r="H55" s="14" t="s">
        <v>393</v>
      </c>
      <c r="I55" s="14" t="s">
        <v>394</v>
      </c>
      <c r="J55" s="14" t="s">
        <v>395</v>
      </c>
      <c r="K55" s="14" t="s">
        <v>387</v>
      </c>
      <c r="L55" s="14"/>
      <c r="M55" s="17"/>
      <c r="N55" s="14" t="s">
        <v>36</v>
      </c>
      <c r="O55" s="14">
        <v>20</v>
      </c>
      <c r="P55" s="14" t="s">
        <v>396</v>
      </c>
      <c r="Q55" s="14" t="s">
        <v>50</v>
      </c>
      <c r="R55" s="14"/>
      <c r="S55" s="21"/>
      <c r="T55" s="14" t="s">
        <v>139</v>
      </c>
      <c r="U55" s="14" t="s">
        <v>41</v>
      </c>
      <c r="V55" s="14" t="s">
        <v>42</v>
      </c>
      <c r="W55" s="14"/>
      <c r="X55" s="22"/>
      <c r="Y55" s="22" t="s">
        <v>54</v>
      </c>
      <c r="Z55" s="14" t="s">
        <v>41</v>
      </c>
      <c r="AA55" s="14"/>
      <c r="AB55" s="14"/>
    </row>
    <row r="56" customHeight="1" spans="1:28">
      <c r="A56" s="13">
        <v>56</v>
      </c>
      <c r="B56" s="14" t="s">
        <v>397</v>
      </c>
      <c r="C56" s="15">
        <v>46130</v>
      </c>
      <c r="D56" s="14" t="s">
        <v>30</v>
      </c>
      <c r="E56" s="14" t="s">
        <v>31</v>
      </c>
      <c r="F56" s="14" t="s">
        <v>198</v>
      </c>
      <c r="G56" s="14" t="s">
        <v>199</v>
      </c>
      <c r="H56" s="14" t="s">
        <v>398</v>
      </c>
      <c r="I56" s="14" t="s">
        <v>399</v>
      </c>
      <c r="J56" s="14" t="s">
        <v>400</v>
      </c>
      <c r="K56" s="14" t="s">
        <v>401</v>
      </c>
      <c r="L56" s="14"/>
      <c r="M56" s="17"/>
      <c r="N56" s="14" t="s">
        <v>36</v>
      </c>
      <c r="O56" s="14"/>
      <c r="P56" s="14" t="s">
        <v>399</v>
      </c>
      <c r="Q56" s="14" t="s">
        <v>50</v>
      </c>
      <c r="R56" s="14"/>
      <c r="S56" s="21"/>
      <c r="T56" s="14" t="s">
        <v>129</v>
      </c>
      <c r="U56" s="14" t="s">
        <v>41</v>
      </c>
      <c r="V56" s="14" t="s">
        <v>42</v>
      </c>
      <c r="W56" s="14"/>
      <c r="X56" s="22"/>
      <c r="Y56" s="22"/>
      <c r="Z56" s="14"/>
      <c r="AA56" s="14"/>
      <c r="AB56" s="14"/>
    </row>
  </sheetData>
  <autoFilter xmlns:etc="http://www.wps.cn/officeDocument/2017/etCustomData" ref="A2:AB56" etc:filterBottomFollowUsedRange="0">
    <extLst/>
  </autoFilter>
  <mergeCells count="16">
    <mergeCell ref="P1:Z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</mergeCells>
  <conditionalFormatting sqref="R19">
    <cfRule type="duplicateValues" dxfId="0" priority="64"/>
  </conditionalFormatting>
  <conditionalFormatting sqref="P38">
    <cfRule type="duplicateValues" dxfId="0" priority="15"/>
  </conditionalFormatting>
  <conditionalFormatting sqref="P39">
    <cfRule type="duplicateValues" dxfId="0" priority="13"/>
  </conditionalFormatting>
  <conditionalFormatting sqref="R49">
    <cfRule type="duplicateValues" dxfId="1" priority="1"/>
  </conditionalFormatting>
  <pageMargins left="0.75" right="0.75" top="1" bottom="1" header="0.511805555555556" footer="0.511805555555556"/>
  <pageSetup paperSize="9" scale="19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6"/>
  <sheetViews>
    <sheetView workbookViewId="0">
      <selection activeCell="H48" sqref="H48"/>
    </sheetView>
  </sheetViews>
  <sheetFormatPr defaultColWidth="8.8" defaultRowHeight="15.75" outlineLevelRow="5"/>
  <cols>
    <col min="2" max="2" width="15.3" customWidth="1"/>
    <col min="3" max="3" width="16.8" customWidth="1"/>
    <col min="4" max="4" width="13.7" customWidth="1"/>
    <col min="5" max="5" width="13.3" customWidth="1"/>
    <col min="6" max="6" width="40.7" customWidth="1"/>
    <col min="7" max="7" width="27.5" customWidth="1"/>
    <col min="8" max="8" width="16.6" customWidth="1"/>
    <col min="9" max="9" width="24.8" customWidth="1"/>
    <col min="10" max="10" width="18.3" customWidth="1"/>
    <col min="11" max="11" width="14.2" customWidth="1"/>
    <col min="12" max="12" width="14.7" customWidth="1"/>
    <col min="13" max="13" width="11.5" customWidth="1"/>
    <col min="14" max="14" width="22.4" customWidth="1"/>
    <col min="15" max="15" width="11.5" customWidth="1"/>
    <col min="18" max="18" width="24.7" customWidth="1"/>
    <col min="22" max="22" width="20.5" customWidth="1"/>
    <col min="23" max="24" width="16.8" customWidth="1"/>
    <col min="25" max="25" width="17.7" customWidth="1"/>
    <col min="26" max="26" width="18.6" customWidth="1"/>
    <col min="27" max="27" width="14.6" customWidth="1"/>
    <col min="28" max="28" width="12.3" customWidth="1"/>
  </cols>
  <sheetData>
    <row r="1" ht="17.6" spans="1:28">
      <c r="A1" s="10" t="s">
        <v>0</v>
      </c>
      <c r="B1" s="11" t="s">
        <v>1</v>
      </c>
      <c r="C1" s="12" t="s">
        <v>2</v>
      </c>
      <c r="D1" s="12" t="s">
        <v>3</v>
      </c>
      <c r="E1" s="12" t="s">
        <v>4</v>
      </c>
      <c r="F1" s="12" t="s">
        <v>402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403</v>
      </c>
      <c r="L1" s="12" t="s">
        <v>13</v>
      </c>
      <c r="M1" s="12" t="s">
        <v>404</v>
      </c>
      <c r="N1" s="12" t="s">
        <v>405</v>
      </c>
      <c r="O1" s="12" t="s">
        <v>14</v>
      </c>
      <c r="P1" s="12" t="s">
        <v>15</v>
      </c>
      <c r="Q1" s="12"/>
      <c r="R1" s="12"/>
      <c r="S1" s="12"/>
      <c r="T1" s="12"/>
      <c r="U1" s="12"/>
      <c r="V1" s="12"/>
      <c r="W1" s="12"/>
      <c r="X1" s="20"/>
      <c r="Y1" s="20"/>
      <c r="Z1" s="12"/>
      <c r="AA1" s="12"/>
      <c r="AB1" s="12"/>
    </row>
    <row r="2" ht="35.25" spans="1:28">
      <c r="A2" s="10"/>
      <c r="B2" s="11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1" t="s">
        <v>22</v>
      </c>
      <c r="W2" s="20" t="s">
        <v>23</v>
      </c>
      <c r="X2" s="20" t="s">
        <v>24</v>
      </c>
      <c r="Y2" s="11" t="s">
        <v>25</v>
      </c>
      <c r="Z2" s="12" t="s">
        <v>26</v>
      </c>
      <c r="AA2" s="11" t="s">
        <v>27</v>
      </c>
      <c r="AB2" s="11" t="s">
        <v>28</v>
      </c>
    </row>
    <row r="3" ht="17.6" spans="1:28">
      <c r="A3" s="13">
        <v>1</v>
      </c>
      <c r="B3" s="14" t="s">
        <v>406</v>
      </c>
      <c r="C3" s="15">
        <v>45903</v>
      </c>
      <c r="D3" s="14" t="s">
        <v>30</v>
      </c>
      <c r="E3" s="29" t="s">
        <v>31</v>
      </c>
      <c r="F3" s="14" t="s">
        <v>198</v>
      </c>
      <c r="G3" s="14" t="s">
        <v>199</v>
      </c>
      <c r="H3" s="14" t="s">
        <v>407</v>
      </c>
      <c r="I3" s="14" t="s">
        <v>408</v>
      </c>
      <c r="J3" s="14" t="s">
        <v>409</v>
      </c>
      <c r="K3" s="33" t="s">
        <v>410</v>
      </c>
      <c r="L3" s="14" t="s">
        <v>411</v>
      </c>
      <c r="M3" s="37" t="s">
        <v>412</v>
      </c>
      <c r="N3" s="14" t="s">
        <v>46</v>
      </c>
      <c r="O3" s="14">
        <v>0</v>
      </c>
      <c r="P3" s="14" t="s">
        <v>413</v>
      </c>
      <c r="Q3" s="14" t="s">
        <v>50</v>
      </c>
      <c r="R3" s="14" t="s">
        <v>414</v>
      </c>
      <c r="S3" s="14">
        <v>57</v>
      </c>
      <c r="T3" s="21" t="s">
        <v>129</v>
      </c>
      <c r="U3" s="14" t="s">
        <v>41</v>
      </c>
      <c r="V3" s="17" t="s">
        <v>42</v>
      </c>
      <c r="W3" s="38"/>
      <c r="X3" s="17" t="s">
        <v>46</v>
      </c>
      <c r="Y3" s="17" t="s">
        <v>251</v>
      </c>
      <c r="Z3" s="14" t="s">
        <v>415</v>
      </c>
      <c r="AA3" s="14"/>
      <c r="AB3" s="14"/>
    </row>
    <row r="4" ht="17.6" spans="1:28">
      <c r="A4" s="13">
        <v>2</v>
      </c>
      <c r="B4" s="14" t="s">
        <v>416</v>
      </c>
      <c r="C4" s="15">
        <v>45942</v>
      </c>
      <c r="D4" s="14" t="s">
        <v>30</v>
      </c>
      <c r="E4" s="14" t="s">
        <v>31</v>
      </c>
      <c r="F4" s="14" t="s">
        <v>198</v>
      </c>
      <c r="G4" s="14" t="s">
        <v>199</v>
      </c>
      <c r="H4" s="14" t="s">
        <v>417</v>
      </c>
      <c r="I4" s="14" t="s">
        <v>359</v>
      </c>
      <c r="J4" s="14" t="s">
        <v>409</v>
      </c>
      <c r="K4" s="33" t="s">
        <v>418</v>
      </c>
      <c r="L4" s="14" t="s">
        <v>411</v>
      </c>
      <c r="M4" s="37" t="s">
        <v>412</v>
      </c>
      <c r="N4" s="14" t="s">
        <v>46</v>
      </c>
      <c r="O4" s="14">
        <v>0</v>
      </c>
      <c r="P4" s="14" t="s">
        <v>360</v>
      </c>
      <c r="Q4" s="14" t="s">
        <v>50</v>
      </c>
      <c r="R4" s="69" t="s">
        <v>361</v>
      </c>
      <c r="S4" s="25">
        <v>53</v>
      </c>
      <c r="T4" s="25" t="s">
        <v>139</v>
      </c>
      <c r="U4" s="14" t="s">
        <v>41</v>
      </c>
      <c r="V4" s="14" t="s">
        <v>42</v>
      </c>
      <c r="W4" s="38">
        <v>45912</v>
      </c>
      <c r="X4" s="17" t="s">
        <v>46</v>
      </c>
      <c r="Y4" s="17" t="s">
        <v>54</v>
      </c>
      <c r="Z4" s="14" t="s">
        <v>419</v>
      </c>
      <c r="AA4" s="14"/>
      <c r="AB4" s="14"/>
    </row>
    <row r="5" ht="17.6" spans="1:28">
      <c r="A5" s="13">
        <v>3</v>
      </c>
      <c r="B5" s="14" t="s">
        <v>420</v>
      </c>
      <c r="C5" s="15">
        <v>45968</v>
      </c>
      <c r="D5" s="14" t="s">
        <v>30</v>
      </c>
      <c r="E5" s="14" t="s">
        <v>44</v>
      </c>
      <c r="F5" s="14" t="s">
        <v>421</v>
      </c>
      <c r="G5" s="14" t="s">
        <v>422</v>
      </c>
      <c r="H5" s="14" t="s">
        <v>423</v>
      </c>
      <c r="I5" s="14" t="s">
        <v>424</v>
      </c>
      <c r="J5" s="14"/>
      <c r="K5" s="14" t="s">
        <v>425</v>
      </c>
      <c r="L5" s="14" t="s">
        <v>411</v>
      </c>
      <c r="M5" s="14" t="s">
        <v>46</v>
      </c>
      <c r="N5" s="14" t="s">
        <v>46</v>
      </c>
      <c r="O5" s="14">
        <v>0</v>
      </c>
      <c r="P5" s="14" t="s">
        <v>426</v>
      </c>
      <c r="Q5" s="14" t="s">
        <v>50</v>
      </c>
      <c r="R5" s="14" t="s">
        <v>427</v>
      </c>
      <c r="S5" s="39">
        <v>34</v>
      </c>
      <c r="T5" s="17" t="s">
        <v>41</v>
      </c>
      <c r="U5" s="14" t="s">
        <v>41</v>
      </c>
      <c r="V5" s="14" t="s">
        <v>42</v>
      </c>
      <c r="W5" s="40"/>
      <c r="X5" s="17" t="s">
        <v>46</v>
      </c>
      <c r="Y5" s="14" t="s">
        <v>251</v>
      </c>
      <c r="Z5" s="14"/>
      <c r="AA5" s="14"/>
      <c r="AB5" s="14"/>
    </row>
    <row r="6" s="13" customFormat="1" ht="17.6" spans="1:24">
      <c r="A6" s="13">
        <v>4</v>
      </c>
      <c r="B6" s="13" t="s">
        <v>428</v>
      </c>
      <c r="C6" s="13">
        <v>45916</v>
      </c>
      <c r="D6" s="13" t="s">
        <v>30</v>
      </c>
      <c r="E6" s="13" t="s">
        <v>31</v>
      </c>
      <c r="F6" s="13" t="s">
        <v>198</v>
      </c>
      <c r="G6" s="13" t="s">
        <v>199</v>
      </c>
      <c r="H6" s="13" t="s">
        <v>429</v>
      </c>
      <c r="I6" s="13" t="s">
        <v>430</v>
      </c>
      <c r="J6" s="13" t="s">
        <v>431</v>
      </c>
      <c r="K6" s="13" t="s">
        <v>432</v>
      </c>
      <c r="L6" s="13" t="s">
        <v>36</v>
      </c>
      <c r="M6" s="13">
        <v>20</v>
      </c>
      <c r="N6" s="13" t="s">
        <v>433</v>
      </c>
      <c r="O6" s="13" t="s">
        <v>50</v>
      </c>
      <c r="P6" s="75" t="s">
        <v>434</v>
      </c>
      <c r="Q6" s="13">
        <v>46</v>
      </c>
      <c r="R6" s="13" t="s">
        <v>139</v>
      </c>
      <c r="S6" s="13" t="s">
        <v>41</v>
      </c>
      <c r="T6" s="13" t="s">
        <v>42</v>
      </c>
      <c r="U6" s="13" t="s">
        <v>435</v>
      </c>
      <c r="V6" s="13" t="s">
        <v>46</v>
      </c>
      <c r="W6" s="13" t="s">
        <v>54</v>
      </c>
      <c r="X6" s="13" t="s">
        <v>41</v>
      </c>
    </row>
  </sheetData>
  <mergeCells count="16">
    <mergeCell ref="P1:Z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</mergeCells>
  <pageMargins left="0.75" right="0.75" top="1" bottom="1" header="0.5" footer="0.5"/>
  <pageSetup paperSize="262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6"/>
  <sheetViews>
    <sheetView topLeftCell="B1" workbookViewId="0">
      <selection activeCell="I5" sqref="A1:J56"/>
    </sheetView>
  </sheetViews>
  <sheetFormatPr defaultColWidth="8.8" defaultRowHeight="15.75"/>
  <cols>
    <col min="2" max="2" width="12.6" customWidth="1"/>
    <col min="3" max="3" width="9.5" customWidth="1"/>
    <col min="4" max="4" width="14.6" style="26" customWidth="1"/>
    <col min="5" max="5" width="24.8" customWidth="1"/>
    <col min="6" max="6" width="40.7" customWidth="1"/>
    <col min="7" max="7" width="27.5" customWidth="1"/>
    <col min="8" max="8" width="18.3" customWidth="1"/>
    <col min="9" max="9" width="14.2" customWidth="1"/>
  </cols>
  <sheetData>
    <row r="1" ht="25.1" spans="1:10">
      <c r="A1" s="27" t="s">
        <v>436</v>
      </c>
      <c r="B1" s="27"/>
      <c r="C1" s="27"/>
      <c r="D1" s="27"/>
      <c r="E1" s="27"/>
      <c r="F1" s="27"/>
      <c r="G1" s="27"/>
      <c r="H1" s="27"/>
      <c r="I1" s="27"/>
      <c r="J1" s="27"/>
    </row>
    <row r="2" ht="35.25" spans="1:10">
      <c r="A2" s="10" t="s">
        <v>0</v>
      </c>
      <c r="B2" s="11" t="s">
        <v>1</v>
      </c>
      <c r="C2" s="12" t="s">
        <v>4</v>
      </c>
      <c r="D2" s="12" t="s">
        <v>7</v>
      </c>
      <c r="E2" s="12" t="s">
        <v>8</v>
      </c>
      <c r="F2" s="12" t="s">
        <v>5</v>
      </c>
      <c r="G2" s="12" t="s">
        <v>6</v>
      </c>
      <c r="H2" s="12" t="s">
        <v>9</v>
      </c>
      <c r="I2" s="12" t="s">
        <v>10</v>
      </c>
      <c r="J2" s="12" t="s">
        <v>26</v>
      </c>
    </row>
    <row r="3" ht="17.6" spans="1:10">
      <c r="A3" s="13">
        <v>1</v>
      </c>
      <c r="B3" s="14" t="s">
        <v>124</v>
      </c>
      <c r="C3" s="15" t="s">
        <v>31</v>
      </c>
      <c r="D3" s="14" t="s">
        <v>125</v>
      </c>
      <c r="E3" s="14" t="s">
        <v>126</v>
      </c>
      <c r="F3" s="14" t="s">
        <v>72</v>
      </c>
      <c r="G3" s="14" t="s">
        <v>96</v>
      </c>
      <c r="H3" s="28" t="s">
        <v>437</v>
      </c>
      <c r="I3" s="33" t="s">
        <v>438</v>
      </c>
      <c r="J3" s="34"/>
    </row>
    <row r="4" ht="17.6" spans="1:10">
      <c r="A4" s="13">
        <v>2</v>
      </c>
      <c r="B4" s="14" t="s">
        <v>209</v>
      </c>
      <c r="C4" s="29" t="s">
        <v>31</v>
      </c>
      <c r="D4" s="14" t="s">
        <v>212</v>
      </c>
      <c r="E4" s="14" t="s">
        <v>213</v>
      </c>
      <c r="F4" s="14" t="s">
        <v>210</v>
      </c>
      <c r="G4" s="14" t="s">
        <v>211</v>
      </c>
      <c r="H4" s="28" t="s">
        <v>439</v>
      </c>
      <c r="I4" s="33" t="s">
        <v>440</v>
      </c>
      <c r="J4" s="34"/>
    </row>
    <row r="5" ht="17.6" spans="1:10">
      <c r="A5" s="13">
        <v>3</v>
      </c>
      <c r="B5" s="14" t="s">
        <v>131</v>
      </c>
      <c r="C5" s="14" t="s">
        <v>132</v>
      </c>
      <c r="D5" s="14" t="s">
        <v>135</v>
      </c>
      <c r="E5" s="14" t="s">
        <v>136</v>
      </c>
      <c r="F5" s="14" t="s">
        <v>133</v>
      </c>
      <c r="G5" s="14" t="s">
        <v>134</v>
      </c>
      <c r="H5" s="28" t="s">
        <v>441</v>
      </c>
      <c r="I5" s="33" t="s">
        <v>442</v>
      </c>
      <c r="J5" s="34"/>
    </row>
    <row r="6" ht="17.6" spans="1:10">
      <c r="A6" s="13">
        <v>4</v>
      </c>
      <c r="B6" s="14" t="s">
        <v>322</v>
      </c>
      <c r="C6" s="14" t="s">
        <v>31</v>
      </c>
      <c r="D6" s="14" t="s">
        <v>324</v>
      </c>
      <c r="E6" s="14" t="s">
        <v>325</v>
      </c>
      <c r="F6" s="14" t="s">
        <v>72</v>
      </c>
      <c r="G6" s="14" t="s">
        <v>282</v>
      </c>
      <c r="H6" s="28" t="s">
        <v>443</v>
      </c>
      <c r="I6" s="33" t="s">
        <v>444</v>
      </c>
      <c r="J6" s="34"/>
    </row>
    <row r="7" ht="17.6" spans="1:10">
      <c r="A7" s="13">
        <v>5</v>
      </c>
      <c r="B7" s="14" t="s">
        <v>258</v>
      </c>
      <c r="C7" s="14" t="s">
        <v>88</v>
      </c>
      <c r="D7" s="14" t="s">
        <v>259</v>
      </c>
      <c r="E7" s="14" t="s">
        <v>260</v>
      </c>
      <c r="F7" s="14" t="s">
        <v>155</v>
      </c>
      <c r="G7" s="14" t="s">
        <v>156</v>
      </c>
      <c r="H7" s="28" t="s">
        <v>445</v>
      </c>
      <c r="I7" s="15" t="s">
        <v>446</v>
      </c>
      <c r="J7" s="34"/>
    </row>
    <row r="8" ht="17.6" spans="1:10">
      <c r="A8" s="13">
        <v>6</v>
      </c>
      <c r="B8" s="14" t="s">
        <v>246</v>
      </c>
      <c r="C8" s="14" t="s">
        <v>31</v>
      </c>
      <c r="D8" s="14" t="s">
        <v>247</v>
      </c>
      <c r="E8" s="14" t="s">
        <v>447</v>
      </c>
      <c r="F8" s="14" t="s">
        <v>198</v>
      </c>
      <c r="G8" s="14" t="s">
        <v>199</v>
      </c>
      <c r="H8" s="28" t="s">
        <v>448</v>
      </c>
      <c r="I8" s="33" t="s">
        <v>449</v>
      </c>
      <c r="J8" s="34"/>
    </row>
    <row r="9" ht="17.6" spans="1:10">
      <c r="A9" s="13">
        <v>7</v>
      </c>
      <c r="B9" s="14" t="s">
        <v>162</v>
      </c>
      <c r="C9" s="14" t="s">
        <v>88</v>
      </c>
      <c r="D9" s="14" t="s">
        <v>165</v>
      </c>
      <c r="E9" s="14" t="s">
        <v>166</v>
      </c>
      <c r="F9" s="14" t="s">
        <v>163</v>
      </c>
      <c r="G9" s="14" t="s">
        <v>164</v>
      </c>
      <c r="H9" s="28" t="s">
        <v>450</v>
      </c>
      <c r="I9" s="33" t="s">
        <v>451</v>
      </c>
      <c r="J9" s="34"/>
    </row>
    <row r="10" ht="17.6" spans="1:10">
      <c r="A10" s="13">
        <v>8</v>
      </c>
      <c r="B10" s="14" t="s">
        <v>43</v>
      </c>
      <c r="C10" s="14" t="s">
        <v>44</v>
      </c>
      <c r="D10" s="16" t="s">
        <v>47</v>
      </c>
      <c r="E10" s="14" t="s">
        <v>48</v>
      </c>
      <c r="F10" s="16" t="s">
        <v>45</v>
      </c>
      <c r="G10" s="16" t="s">
        <v>46</v>
      </c>
      <c r="H10" s="28" t="s">
        <v>452</v>
      </c>
      <c r="I10" s="33" t="s">
        <v>453</v>
      </c>
      <c r="J10" s="34"/>
    </row>
    <row r="11" ht="17.6" spans="1:10">
      <c r="A11" s="13">
        <v>9</v>
      </c>
      <c r="B11" s="14" t="s">
        <v>102</v>
      </c>
      <c r="C11" s="14" t="s">
        <v>103</v>
      </c>
      <c r="D11" s="14" t="s">
        <v>106</v>
      </c>
      <c r="E11" s="14" t="s">
        <v>105</v>
      </c>
      <c r="F11" s="14" t="s">
        <v>104</v>
      </c>
      <c r="G11" s="14" t="s">
        <v>105</v>
      </c>
      <c r="H11" s="28" t="s">
        <v>454</v>
      </c>
      <c r="I11" s="33" t="s">
        <v>446</v>
      </c>
      <c r="J11" s="34"/>
    </row>
    <row r="12" ht="17.6" spans="1:10">
      <c r="A12" s="13">
        <v>10</v>
      </c>
      <c r="B12" s="14" t="s">
        <v>190</v>
      </c>
      <c r="C12" s="29" t="s">
        <v>191</v>
      </c>
      <c r="D12" s="16" t="s">
        <v>192</v>
      </c>
      <c r="E12" s="14" t="s">
        <v>193</v>
      </c>
      <c r="F12" s="16" t="s">
        <v>170</v>
      </c>
      <c r="G12" s="16" t="s">
        <v>46</v>
      </c>
      <c r="H12" s="28" t="s">
        <v>455</v>
      </c>
      <c r="I12" s="33" t="s">
        <v>449</v>
      </c>
      <c r="J12" s="34"/>
    </row>
    <row r="13" ht="17.6" spans="1:10">
      <c r="A13" s="13">
        <v>11</v>
      </c>
      <c r="B13" s="14" t="s">
        <v>154</v>
      </c>
      <c r="C13" s="14" t="s">
        <v>88</v>
      </c>
      <c r="D13" s="14" t="s">
        <v>157</v>
      </c>
      <c r="E13" s="14" t="s">
        <v>158</v>
      </c>
      <c r="F13" s="14" t="s">
        <v>155</v>
      </c>
      <c r="G13" s="14" t="s">
        <v>156</v>
      </c>
      <c r="H13" s="14" t="s">
        <v>456</v>
      </c>
      <c r="I13" s="35" t="s">
        <v>442</v>
      </c>
      <c r="J13" s="34"/>
    </row>
    <row r="14" ht="17.6" spans="1:10">
      <c r="A14" s="13">
        <v>12</v>
      </c>
      <c r="B14" s="14" t="s">
        <v>87</v>
      </c>
      <c r="C14" s="14" t="s">
        <v>88</v>
      </c>
      <c r="D14" s="16" t="s">
        <v>89</v>
      </c>
      <c r="E14" s="14" t="s">
        <v>90</v>
      </c>
      <c r="F14" s="16" t="s">
        <v>65</v>
      </c>
      <c r="G14" s="16" t="s">
        <v>46</v>
      </c>
      <c r="H14" s="14" t="s">
        <v>457</v>
      </c>
      <c r="I14" s="33" t="s">
        <v>442</v>
      </c>
      <c r="J14" s="34"/>
    </row>
    <row r="15" ht="17.6" spans="1:10">
      <c r="A15" s="13">
        <v>13</v>
      </c>
      <c r="B15" s="14" t="s">
        <v>110</v>
      </c>
      <c r="C15" s="30" t="s">
        <v>31</v>
      </c>
      <c r="D15" s="14" t="s">
        <v>112</v>
      </c>
      <c r="E15" s="30" t="s">
        <v>458</v>
      </c>
      <c r="F15" s="30" t="s">
        <v>72</v>
      </c>
      <c r="G15" s="30" t="s">
        <v>111</v>
      </c>
      <c r="H15" s="14" t="s">
        <v>459</v>
      </c>
      <c r="I15" s="14" t="s">
        <v>440</v>
      </c>
      <c r="J15" s="34"/>
    </row>
    <row r="16" ht="17.6" spans="1:10">
      <c r="A16" s="13">
        <v>14</v>
      </c>
      <c r="B16" s="14" t="s">
        <v>169</v>
      </c>
      <c r="C16" s="14" t="s">
        <v>103</v>
      </c>
      <c r="D16" s="16" t="s">
        <v>171</v>
      </c>
      <c r="E16" s="14" t="s">
        <v>172</v>
      </c>
      <c r="F16" s="16" t="s">
        <v>170</v>
      </c>
      <c r="G16" s="16" t="s">
        <v>46</v>
      </c>
      <c r="H16" s="14" t="s">
        <v>460</v>
      </c>
      <c r="I16" s="33" t="s">
        <v>461</v>
      </c>
      <c r="J16" s="34"/>
    </row>
    <row r="17" ht="17.6" spans="1:10">
      <c r="A17" s="13">
        <v>15</v>
      </c>
      <c r="B17" s="14" t="s">
        <v>176</v>
      </c>
      <c r="C17" s="14" t="s">
        <v>88</v>
      </c>
      <c r="D17" s="14" t="s">
        <v>179</v>
      </c>
      <c r="E17" s="14" t="s">
        <v>180</v>
      </c>
      <c r="F17" s="14" t="s">
        <v>177</v>
      </c>
      <c r="G17" s="14" t="s">
        <v>178</v>
      </c>
      <c r="H17" s="14" t="s">
        <v>457</v>
      </c>
      <c r="I17" s="33" t="s">
        <v>451</v>
      </c>
      <c r="J17" s="34"/>
    </row>
    <row r="18" ht="22" customHeight="1" spans="1:10">
      <c r="A18" s="13">
        <v>16</v>
      </c>
      <c r="B18" s="31" t="s">
        <v>29</v>
      </c>
      <c r="C18" s="15" t="s">
        <v>31</v>
      </c>
      <c r="D18" s="14" t="s">
        <v>34</v>
      </c>
      <c r="E18" s="14" t="s">
        <v>35</v>
      </c>
      <c r="F18" s="14" t="s">
        <v>32</v>
      </c>
      <c r="G18" s="14" t="s">
        <v>33</v>
      </c>
      <c r="H18" s="14" t="s">
        <v>462</v>
      </c>
      <c r="I18" s="33" t="s">
        <v>425</v>
      </c>
      <c r="J18" s="34"/>
    </row>
    <row r="19" ht="17.6" spans="1:10">
      <c r="A19" s="13">
        <v>17</v>
      </c>
      <c r="B19" s="14" t="s">
        <v>56</v>
      </c>
      <c r="C19" s="14" t="s">
        <v>44</v>
      </c>
      <c r="D19" s="16" t="s">
        <v>57</v>
      </c>
      <c r="E19" s="14" t="s">
        <v>58</v>
      </c>
      <c r="F19" s="16" t="s">
        <v>45</v>
      </c>
      <c r="G19" s="16" t="s">
        <v>46</v>
      </c>
      <c r="H19" s="14" t="s">
        <v>463</v>
      </c>
      <c r="I19" s="33" t="s">
        <v>464</v>
      </c>
      <c r="J19" s="34"/>
    </row>
    <row r="20" ht="17.6" spans="1:10">
      <c r="A20" s="13">
        <v>18</v>
      </c>
      <c r="B20" s="14" t="s">
        <v>63</v>
      </c>
      <c r="C20" s="14" t="s">
        <v>64</v>
      </c>
      <c r="D20" s="16" t="s">
        <v>66</v>
      </c>
      <c r="E20" s="14" t="s">
        <v>67</v>
      </c>
      <c r="F20" s="16" t="s">
        <v>65</v>
      </c>
      <c r="G20" s="16" t="s">
        <v>46</v>
      </c>
      <c r="H20" s="14" t="s">
        <v>465</v>
      </c>
      <c r="I20" s="33" t="s">
        <v>466</v>
      </c>
      <c r="J20" s="34"/>
    </row>
    <row r="21" ht="19" customHeight="1" spans="1:10">
      <c r="A21" s="13">
        <v>19</v>
      </c>
      <c r="B21" s="14" t="s">
        <v>71</v>
      </c>
      <c r="C21" s="15" t="s">
        <v>31</v>
      </c>
      <c r="D21" s="14" t="s">
        <v>74</v>
      </c>
      <c r="E21" s="14" t="s">
        <v>75</v>
      </c>
      <c r="F21" s="14" t="s">
        <v>72</v>
      </c>
      <c r="G21" s="14" t="s">
        <v>73</v>
      </c>
      <c r="H21" s="14" t="s">
        <v>467</v>
      </c>
      <c r="I21" s="33" t="s">
        <v>432</v>
      </c>
      <c r="J21" s="34"/>
    </row>
    <row r="22" ht="16" customHeight="1" spans="1:10">
      <c r="A22" s="13">
        <v>20</v>
      </c>
      <c r="B22" s="14" t="s">
        <v>79</v>
      </c>
      <c r="C22" s="15" t="s">
        <v>31</v>
      </c>
      <c r="D22" s="15" t="s">
        <v>81</v>
      </c>
      <c r="E22" s="15" t="s">
        <v>82</v>
      </c>
      <c r="F22" s="32" t="s">
        <v>72</v>
      </c>
      <c r="G22" s="15" t="s">
        <v>73</v>
      </c>
      <c r="H22" s="15" t="s">
        <v>462</v>
      </c>
      <c r="I22" s="33" t="s">
        <v>466</v>
      </c>
      <c r="J22" s="34"/>
    </row>
    <row r="23" ht="17.6" spans="1:10">
      <c r="A23" s="13">
        <v>21</v>
      </c>
      <c r="B23" s="14" t="s">
        <v>95</v>
      </c>
      <c r="C23" s="15" t="s">
        <v>31</v>
      </c>
      <c r="D23" s="14" t="s">
        <v>97</v>
      </c>
      <c r="E23" s="14" t="s">
        <v>98</v>
      </c>
      <c r="F23" s="14" t="s">
        <v>72</v>
      </c>
      <c r="G23" s="14" t="s">
        <v>96</v>
      </c>
      <c r="H23" s="14" t="s">
        <v>468</v>
      </c>
      <c r="I23" s="33" t="s">
        <v>444</v>
      </c>
      <c r="J23" s="34"/>
    </row>
    <row r="24" ht="17.6" spans="1:10">
      <c r="A24" s="13">
        <v>22</v>
      </c>
      <c r="B24" s="14" t="s">
        <v>117</v>
      </c>
      <c r="C24" s="15" t="s">
        <v>31</v>
      </c>
      <c r="D24" s="14" t="s">
        <v>119</v>
      </c>
      <c r="E24" s="14" t="s">
        <v>469</v>
      </c>
      <c r="F24" s="14" t="s">
        <v>72</v>
      </c>
      <c r="G24" s="14" t="s">
        <v>118</v>
      </c>
      <c r="H24" s="14" t="s">
        <v>459</v>
      </c>
      <c r="I24" s="33" t="s">
        <v>470</v>
      </c>
      <c r="J24" s="34"/>
    </row>
    <row r="25" ht="17.6" spans="1:10">
      <c r="A25" s="13">
        <v>23</v>
      </c>
      <c r="B25" s="14" t="s">
        <v>140</v>
      </c>
      <c r="C25" s="14" t="s">
        <v>132</v>
      </c>
      <c r="D25" s="14" t="s">
        <v>142</v>
      </c>
      <c r="E25" s="14" t="s">
        <v>143</v>
      </c>
      <c r="F25" s="14" t="s">
        <v>133</v>
      </c>
      <c r="G25" s="14" t="s">
        <v>141</v>
      </c>
      <c r="H25" s="14" t="s">
        <v>471</v>
      </c>
      <c r="I25" s="33" t="s">
        <v>472</v>
      </c>
      <c r="J25" s="34"/>
    </row>
    <row r="26" ht="17.6" spans="1:10">
      <c r="A26" s="13">
        <v>24</v>
      </c>
      <c r="B26" s="14" t="s">
        <v>147</v>
      </c>
      <c r="C26" s="15" t="s">
        <v>31</v>
      </c>
      <c r="D26" s="14" t="s">
        <v>148</v>
      </c>
      <c r="E26" s="14" t="s">
        <v>149</v>
      </c>
      <c r="F26" s="14" t="s">
        <v>72</v>
      </c>
      <c r="G26" s="14" t="s">
        <v>96</v>
      </c>
      <c r="H26" s="14" t="s">
        <v>473</v>
      </c>
      <c r="I26" s="33" t="s">
        <v>474</v>
      </c>
      <c r="J26" s="34"/>
    </row>
    <row r="27" ht="17.6" spans="1:10">
      <c r="A27" s="13">
        <v>25</v>
      </c>
      <c r="B27" s="14" t="s">
        <v>183</v>
      </c>
      <c r="C27" s="14" t="s">
        <v>88</v>
      </c>
      <c r="D27" s="14" t="s">
        <v>186</v>
      </c>
      <c r="E27" s="14" t="s">
        <v>187</v>
      </c>
      <c r="F27" s="14" t="s">
        <v>184</v>
      </c>
      <c r="G27" s="14" t="s">
        <v>185</v>
      </c>
      <c r="H27" s="14" t="s">
        <v>456</v>
      </c>
      <c r="I27" s="15" t="s">
        <v>451</v>
      </c>
      <c r="J27" s="34"/>
    </row>
    <row r="28" ht="17.6" spans="1:10">
      <c r="A28" s="13">
        <v>26</v>
      </c>
      <c r="B28" s="14" t="s">
        <v>197</v>
      </c>
      <c r="C28" s="29" t="s">
        <v>31</v>
      </c>
      <c r="D28" s="14" t="s">
        <v>200</v>
      </c>
      <c r="E28" s="14" t="s">
        <v>201</v>
      </c>
      <c r="F28" s="14" t="s">
        <v>198</v>
      </c>
      <c r="G28" s="14" t="s">
        <v>199</v>
      </c>
      <c r="H28" s="14" t="s">
        <v>386</v>
      </c>
      <c r="I28" s="36" t="s">
        <v>475</v>
      </c>
      <c r="J28" s="34"/>
    </row>
    <row r="29" ht="17.6" spans="1:10">
      <c r="A29" s="13">
        <v>27</v>
      </c>
      <c r="B29" s="14" t="s">
        <v>204</v>
      </c>
      <c r="C29" s="14" t="s">
        <v>31</v>
      </c>
      <c r="D29" s="14" t="s">
        <v>205</v>
      </c>
      <c r="E29" s="14" t="s">
        <v>476</v>
      </c>
      <c r="F29" s="14" t="s">
        <v>198</v>
      </c>
      <c r="G29" s="14" t="s">
        <v>199</v>
      </c>
      <c r="H29" s="14" t="s">
        <v>400</v>
      </c>
      <c r="I29" s="36" t="s">
        <v>418</v>
      </c>
      <c r="J29" s="34"/>
    </row>
    <row r="30" ht="17.6" spans="1:10">
      <c r="A30" s="13">
        <v>28</v>
      </c>
      <c r="B30" s="14" t="s">
        <v>217</v>
      </c>
      <c r="C30" s="29" t="s">
        <v>31</v>
      </c>
      <c r="D30" s="14" t="s">
        <v>218</v>
      </c>
      <c r="E30" s="14" t="s">
        <v>219</v>
      </c>
      <c r="F30" s="14" t="s">
        <v>72</v>
      </c>
      <c r="G30" s="14" t="s">
        <v>96</v>
      </c>
      <c r="H30" s="14" t="s">
        <v>386</v>
      </c>
      <c r="I30" s="33" t="s">
        <v>477</v>
      </c>
      <c r="J30" s="34"/>
    </row>
    <row r="31" ht="17.6" spans="1:10">
      <c r="A31" s="13">
        <v>29</v>
      </c>
      <c r="B31" s="14" t="s">
        <v>223</v>
      </c>
      <c r="C31" s="29" t="s">
        <v>31</v>
      </c>
      <c r="D31" s="14" t="s">
        <v>224</v>
      </c>
      <c r="E31" s="14" t="s">
        <v>225</v>
      </c>
      <c r="F31" s="14" t="s">
        <v>72</v>
      </c>
      <c r="G31" s="14" t="s">
        <v>96</v>
      </c>
      <c r="H31" s="14" t="s">
        <v>473</v>
      </c>
      <c r="I31" s="33" t="s">
        <v>478</v>
      </c>
      <c r="J31" s="34"/>
    </row>
    <row r="32" ht="17.6" spans="1:10">
      <c r="A32" s="13">
        <v>30</v>
      </c>
      <c r="B32" s="14" t="s">
        <v>229</v>
      </c>
      <c r="C32" s="29" t="s">
        <v>31</v>
      </c>
      <c r="D32" s="14" t="s">
        <v>230</v>
      </c>
      <c r="E32" s="14" t="s">
        <v>231</v>
      </c>
      <c r="F32" s="14" t="s">
        <v>210</v>
      </c>
      <c r="G32" s="14" t="s">
        <v>211</v>
      </c>
      <c r="H32" s="14" t="s">
        <v>400</v>
      </c>
      <c r="I32" s="36" t="s">
        <v>401</v>
      </c>
      <c r="J32" s="34"/>
    </row>
    <row r="33" ht="17.6" spans="1:10">
      <c r="A33" s="13">
        <v>31</v>
      </c>
      <c r="B33" s="14" t="s">
        <v>235</v>
      </c>
      <c r="C33" s="14" t="s">
        <v>44</v>
      </c>
      <c r="D33" s="14" t="s">
        <v>238</v>
      </c>
      <c r="E33" s="14" t="s">
        <v>237</v>
      </c>
      <c r="F33" s="14" t="s">
        <v>236</v>
      </c>
      <c r="G33" s="14" t="s">
        <v>237</v>
      </c>
      <c r="H33" s="14" t="s">
        <v>463</v>
      </c>
      <c r="I33" s="33" t="s">
        <v>479</v>
      </c>
      <c r="J33" s="34"/>
    </row>
    <row r="34" ht="17.6" spans="1:10">
      <c r="A34" s="13">
        <v>32</v>
      </c>
      <c r="B34" s="14" t="s">
        <v>241</v>
      </c>
      <c r="C34" s="29" t="s">
        <v>31</v>
      </c>
      <c r="D34" s="14" t="s">
        <v>242</v>
      </c>
      <c r="E34" s="14" t="s">
        <v>243</v>
      </c>
      <c r="F34" s="14" t="s">
        <v>210</v>
      </c>
      <c r="G34" s="14" t="s">
        <v>211</v>
      </c>
      <c r="H34" s="14" t="s">
        <v>386</v>
      </c>
      <c r="I34" s="33" t="s">
        <v>444</v>
      </c>
      <c r="J34" s="34"/>
    </row>
    <row r="35" ht="17.6" spans="1:10">
      <c r="A35" s="13">
        <v>33</v>
      </c>
      <c r="B35" s="14" t="s">
        <v>428</v>
      </c>
      <c r="C35" s="15" t="s">
        <v>31</v>
      </c>
      <c r="D35" s="15" t="s">
        <v>429</v>
      </c>
      <c r="E35" s="15" t="s">
        <v>430</v>
      </c>
      <c r="F35" s="15" t="s">
        <v>198</v>
      </c>
      <c r="G35" s="15" t="s">
        <v>199</v>
      </c>
      <c r="H35" s="14" t="s">
        <v>431</v>
      </c>
      <c r="I35" s="33" t="s">
        <v>432</v>
      </c>
      <c r="J35" s="34"/>
    </row>
    <row r="36" ht="17.6" spans="1:10">
      <c r="A36" s="13">
        <v>34</v>
      </c>
      <c r="B36" s="14" t="s">
        <v>252</v>
      </c>
      <c r="C36" s="14" t="s">
        <v>31</v>
      </c>
      <c r="D36" s="14" t="s">
        <v>253</v>
      </c>
      <c r="E36" s="14" t="s">
        <v>254</v>
      </c>
      <c r="F36" s="14" t="s">
        <v>72</v>
      </c>
      <c r="G36" s="14" t="s">
        <v>118</v>
      </c>
      <c r="H36" s="14" t="s">
        <v>459</v>
      </c>
      <c r="I36" s="14" t="s">
        <v>470</v>
      </c>
      <c r="J36" s="34"/>
    </row>
    <row r="37" ht="17.6" spans="1:10">
      <c r="A37" s="13">
        <v>35</v>
      </c>
      <c r="B37" s="14" t="s">
        <v>264</v>
      </c>
      <c r="C37" s="14" t="s">
        <v>31</v>
      </c>
      <c r="D37" s="14" t="s">
        <v>265</v>
      </c>
      <c r="E37" s="14" t="s">
        <v>266</v>
      </c>
      <c r="F37" s="14" t="s">
        <v>72</v>
      </c>
      <c r="G37" s="14" t="s">
        <v>96</v>
      </c>
      <c r="H37" s="14" t="s">
        <v>480</v>
      </c>
      <c r="I37" s="14" t="s">
        <v>425</v>
      </c>
      <c r="J37" s="34"/>
    </row>
    <row r="38" ht="17.6" spans="1:10">
      <c r="A38" s="13">
        <v>36</v>
      </c>
      <c r="B38" s="14" t="s">
        <v>269</v>
      </c>
      <c r="C38" s="14" t="s">
        <v>31</v>
      </c>
      <c r="D38" s="14" t="s">
        <v>270</v>
      </c>
      <c r="E38" s="14" t="s">
        <v>271</v>
      </c>
      <c r="F38" s="14" t="s">
        <v>198</v>
      </c>
      <c r="G38" s="14" t="s">
        <v>199</v>
      </c>
      <c r="H38" s="14" t="s">
        <v>481</v>
      </c>
      <c r="I38" s="36" t="s">
        <v>475</v>
      </c>
      <c r="J38" s="34"/>
    </row>
    <row r="39" ht="17.6" spans="1:10">
      <c r="A39" s="13">
        <v>37</v>
      </c>
      <c r="B39" s="14" t="s">
        <v>274</v>
      </c>
      <c r="C39" s="14" t="s">
        <v>103</v>
      </c>
      <c r="D39" s="14" t="s">
        <v>275</v>
      </c>
      <c r="E39" s="14" t="s">
        <v>276</v>
      </c>
      <c r="F39" s="14" t="s">
        <v>104</v>
      </c>
      <c r="G39" s="14" t="s">
        <v>105</v>
      </c>
      <c r="H39" s="14" t="s">
        <v>482</v>
      </c>
      <c r="I39" s="14" t="s">
        <v>461</v>
      </c>
      <c r="J39" s="34"/>
    </row>
    <row r="40" ht="17.6" spans="1:10">
      <c r="A40" s="13">
        <v>38</v>
      </c>
      <c r="B40" s="14" t="s">
        <v>281</v>
      </c>
      <c r="C40" s="15" t="s">
        <v>31</v>
      </c>
      <c r="D40" s="15" t="s">
        <v>283</v>
      </c>
      <c r="E40" s="15" t="s">
        <v>284</v>
      </c>
      <c r="F40" s="15" t="s">
        <v>72</v>
      </c>
      <c r="G40" s="14" t="s">
        <v>282</v>
      </c>
      <c r="H40" s="15" t="s">
        <v>464</v>
      </c>
      <c r="I40" s="15" t="s">
        <v>464</v>
      </c>
      <c r="J40" s="34"/>
    </row>
    <row r="41" ht="17.6" spans="1:10">
      <c r="A41" s="13">
        <v>39</v>
      </c>
      <c r="B41" s="14" t="s">
        <v>288</v>
      </c>
      <c r="C41" s="15" t="s">
        <v>88</v>
      </c>
      <c r="D41" s="15" t="s">
        <v>289</v>
      </c>
      <c r="E41" s="15" t="s">
        <v>290</v>
      </c>
      <c r="F41" s="15" t="s">
        <v>163</v>
      </c>
      <c r="G41" s="15" t="s">
        <v>164</v>
      </c>
      <c r="H41" s="15" t="s">
        <v>456</v>
      </c>
      <c r="I41" s="35" t="s">
        <v>472</v>
      </c>
      <c r="J41" s="34"/>
    </row>
    <row r="42" ht="17.6" spans="1:10">
      <c r="A42" s="13">
        <v>40</v>
      </c>
      <c r="B42" s="14" t="s">
        <v>294</v>
      </c>
      <c r="C42" s="14" t="s">
        <v>31</v>
      </c>
      <c r="D42" s="14" t="s">
        <v>297</v>
      </c>
      <c r="E42" s="14" t="s">
        <v>298</v>
      </c>
      <c r="F42" s="14" t="s">
        <v>295</v>
      </c>
      <c r="G42" s="14" t="s">
        <v>296</v>
      </c>
      <c r="H42" s="14" t="s">
        <v>483</v>
      </c>
      <c r="I42" s="36" t="s">
        <v>418</v>
      </c>
      <c r="J42" s="34"/>
    </row>
    <row r="43" ht="17.6" spans="1:10">
      <c r="A43" s="13">
        <v>41</v>
      </c>
      <c r="B43" s="14" t="s">
        <v>303</v>
      </c>
      <c r="C43" s="14" t="s">
        <v>88</v>
      </c>
      <c r="D43" s="14" t="s">
        <v>304</v>
      </c>
      <c r="E43" s="14" t="s">
        <v>305</v>
      </c>
      <c r="F43" s="14" t="s">
        <v>65</v>
      </c>
      <c r="G43" s="14" t="s">
        <v>46</v>
      </c>
      <c r="H43" s="14" t="s">
        <v>484</v>
      </c>
      <c r="I43" s="14" t="s">
        <v>485</v>
      </c>
      <c r="J43" s="34"/>
    </row>
    <row r="44" ht="17.6" spans="1:10">
      <c r="A44" s="13">
        <v>42</v>
      </c>
      <c r="B44" s="14" t="s">
        <v>309</v>
      </c>
      <c r="C44" s="14" t="s">
        <v>88</v>
      </c>
      <c r="D44" s="14" t="s">
        <v>310</v>
      </c>
      <c r="E44" s="14" t="s">
        <v>311</v>
      </c>
      <c r="F44" s="14" t="s">
        <v>65</v>
      </c>
      <c r="G44" s="14" t="s">
        <v>46</v>
      </c>
      <c r="H44" s="14" t="s">
        <v>484</v>
      </c>
      <c r="I44" s="14" t="s">
        <v>485</v>
      </c>
      <c r="J44" s="34"/>
    </row>
    <row r="45" ht="17.6" spans="1:10">
      <c r="A45" s="13">
        <v>43</v>
      </c>
      <c r="B45" s="14" t="s">
        <v>315</v>
      </c>
      <c r="C45" s="14" t="s">
        <v>31</v>
      </c>
      <c r="D45" s="14" t="s">
        <v>316</v>
      </c>
      <c r="E45" s="14" t="s">
        <v>317</v>
      </c>
      <c r="F45" s="14" t="s">
        <v>72</v>
      </c>
      <c r="G45" s="14" t="s">
        <v>282</v>
      </c>
      <c r="H45" s="14" t="s">
        <v>400</v>
      </c>
      <c r="I45" s="14" t="s">
        <v>440</v>
      </c>
      <c r="J45" s="34"/>
    </row>
    <row r="46" ht="17.6" spans="1:10">
      <c r="A46" s="13">
        <v>44</v>
      </c>
      <c r="B46" s="14" t="s">
        <v>330</v>
      </c>
      <c r="C46" s="14" t="s">
        <v>331</v>
      </c>
      <c r="D46" s="15" t="s">
        <v>332</v>
      </c>
      <c r="E46" s="14" t="s">
        <v>333</v>
      </c>
      <c r="F46" s="14" t="s">
        <v>72</v>
      </c>
      <c r="G46" s="14" t="s">
        <v>282</v>
      </c>
      <c r="H46" s="14" t="s">
        <v>431</v>
      </c>
      <c r="I46" s="33" t="s">
        <v>478</v>
      </c>
      <c r="J46" s="34"/>
    </row>
    <row r="47" ht="17.6" spans="1:10">
      <c r="A47" s="13">
        <v>45</v>
      </c>
      <c r="B47" s="14" t="s">
        <v>338</v>
      </c>
      <c r="C47" s="14" t="s">
        <v>31</v>
      </c>
      <c r="D47" s="15" t="s">
        <v>339</v>
      </c>
      <c r="E47" s="14" t="s">
        <v>340</v>
      </c>
      <c r="F47" s="14" t="s">
        <v>198</v>
      </c>
      <c r="G47" s="14" t="s">
        <v>199</v>
      </c>
      <c r="H47" s="14" t="s">
        <v>486</v>
      </c>
      <c r="I47" s="36" t="s">
        <v>401</v>
      </c>
      <c r="J47" s="34"/>
    </row>
    <row r="48" ht="17.6" spans="1:10">
      <c r="A48" s="13">
        <v>46</v>
      </c>
      <c r="B48" s="14" t="s">
        <v>345</v>
      </c>
      <c r="C48" s="14" t="s">
        <v>132</v>
      </c>
      <c r="D48" s="15" t="s">
        <v>347</v>
      </c>
      <c r="E48" s="14" t="s">
        <v>348</v>
      </c>
      <c r="F48" s="14" t="s">
        <v>133</v>
      </c>
      <c r="G48" s="14" t="s">
        <v>346</v>
      </c>
      <c r="H48" s="14" t="s">
        <v>487</v>
      </c>
      <c r="I48" s="14" t="s">
        <v>472</v>
      </c>
      <c r="J48" s="34"/>
    </row>
    <row r="49" ht="17.6" spans="1:10">
      <c r="A49" s="13">
        <v>47</v>
      </c>
      <c r="B49" s="14" t="s">
        <v>351</v>
      </c>
      <c r="C49" s="14" t="s">
        <v>31</v>
      </c>
      <c r="D49" s="14" t="s">
        <v>352</v>
      </c>
      <c r="E49" s="14" t="s">
        <v>488</v>
      </c>
      <c r="F49" s="14" t="s">
        <v>210</v>
      </c>
      <c r="G49" s="14" t="s">
        <v>211</v>
      </c>
      <c r="H49" s="14" t="s">
        <v>489</v>
      </c>
      <c r="I49" s="36" t="s">
        <v>475</v>
      </c>
      <c r="J49" s="34"/>
    </row>
    <row r="50" ht="17.6" spans="1:10">
      <c r="A50" s="13">
        <v>48</v>
      </c>
      <c r="B50" s="14" t="s">
        <v>357</v>
      </c>
      <c r="C50" s="14" t="s">
        <v>88</v>
      </c>
      <c r="D50" s="14" t="s">
        <v>358</v>
      </c>
      <c r="E50" s="14" t="s">
        <v>359</v>
      </c>
      <c r="F50" s="14" t="s">
        <v>177</v>
      </c>
      <c r="G50" s="14" t="s">
        <v>178</v>
      </c>
      <c r="H50" s="14" t="s">
        <v>490</v>
      </c>
      <c r="I50" s="14" t="s">
        <v>485</v>
      </c>
      <c r="J50" s="34"/>
    </row>
    <row r="51" ht="17.6" spans="1:10">
      <c r="A51" s="13">
        <v>49</v>
      </c>
      <c r="B51" s="14" t="s">
        <v>362</v>
      </c>
      <c r="C51" s="14" t="s">
        <v>331</v>
      </c>
      <c r="D51" s="14" t="s">
        <v>364</v>
      </c>
      <c r="E51" s="14" t="s">
        <v>365</v>
      </c>
      <c r="F51" s="14" t="s">
        <v>72</v>
      </c>
      <c r="G51" s="14" t="s">
        <v>363</v>
      </c>
      <c r="H51" s="14" t="s">
        <v>431</v>
      </c>
      <c r="I51" s="33" t="s">
        <v>478</v>
      </c>
      <c r="J51" s="34"/>
    </row>
    <row r="52" ht="17.6" spans="1:10">
      <c r="A52" s="13">
        <v>50</v>
      </c>
      <c r="B52" s="14" t="s">
        <v>368</v>
      </c>
      <c r="C52" s="14" t="s">
        <v>64</v>
      </c>
      <c r="D52" s="14" t="s">
        <v>369</v>
      </c>
      <c r="E52" s="14" t="s">
        <v>370</v>
      </c>
      <c r="F52" s="14" t="s">
        <v>177</v>
      </c>
      <c r="G52" s="14" t="s">
        <v>178</v>
      </c>
      <c r="H52" s="14" t="s">
        <v>491</v>
      </c>
      <c r="I52" s="14" t="s">
        <v>474</v>
      </c>
      <c r="J52" s="18"/>
    </row>
    <row r="53" ht="17.6" spans="1:10">
      <c r="A53" s="13">
        <v>51</v>
      </c>
      <c r="B53" s="14" t="s">
        <v>373</v>
      </c>
      <c r="C53" s="14" t="s">
        <v>31</v>
      </c>
      <c r="D53" s="14" t="s">
        <v>374</v>
      </c>
      <c r="E53" s="14" t="s">
        <v>375</v>
      </c>
      <c r="F53" s="14" t="s">
        <v>198</v>
      </c>
      <c r="G53" s="14" t="s">
        <v>199</v>
      </c>
      <c r="H53" s="14" t="s">
        <v>468</v>
      </c>
      <c r="I53" s="14" t="s">
        <v>492</v>
      </c>
      <c r="J53" s="18"/>
    </row>
    <row r="54" ht="17.6" spans="1:10">
      <c r="A54" s="13">
        <v>52</v>
      </c>
      <c r="B54" s="14" t="s">
        <v>378</v>
      </c>
      <c r="C54" s="14" t="s">
        <v>31</v>
      </c>
      <c r="D54" s="30" t="s">
        <v>379</v>
      </c>
      <c r="E54" s="14" t="s">
        <v>380</v>
      </c>
      <c r="F54" s="18" t="s">
        <v>493</v>
      </c>
      <c r="G54" s="14" t="s">
        <v>199</v>
      </c>
      <c r="H54" s="18" t="s">
        <v>400</v>
      </c>
      <c r="I54" s="14" t="s">
        <v>492</v>
      </c>
      <c r="J54" s="18"/>
    </row>
    <row r="55" spans="4:8">
      <c r="D55" s="26" t="s">
        <v>393</v>
      </c>
      <c r="H55" s="26" t="s">
        <v>395</v>
      </c>
    </row>
    <row r="56" spans="4:8">
      <c r="D56" s="26" t="s">
        <v>398</v>
      </c>
      <c r="H56" s="26" t="s">
        <v>400</v>
      </c>
    </row>
  </sheetData>
  <autoFilter xmlns:etc="http://www.wps.cn/officeDocument/2017/etCustomData" ref="A2:J56" etc:filterBottomFollowUsedRange="0">
    <extLst/>
  </autoFilter>
  <mergeCells count="1">
    <mergeCell ref="A1:J1"/>
  </mergeCells>
  <pageMargins left="0.75" right="0.75" top="1" bottom="1" header="0.5" footer="0.5"/>
  <pageSetup paperSize="262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6"/>
  <sheetViews>
    <sheetView view="pageBreakPreview" zoomScale="85" zoomScaleNormal="85" workbookViewId="0">
      <pane ySplit="2" topLeftCell="A3" activePane="bottomLeft" state="frozen"/>
      <selection/>
      <selection pane="bottomLeft" activeCell="H48" sqref="H48"/>
    </sheetView>
  </sheetViews>
  <sheetFormatPr defaultColWidth="9" defaultRowHeight="25" customHeight="1" outlineLevelRow="5"/>
  <cols>
    <col min="1" max="1" width="9" style="4"/>
    <col min="2" max="2" width="18.8166666666667" style="5" customWidth="1"/>
    <col min="3" max="3" width="19.175" style="5" customWidth="1"/>
    <col min="4" max="4" width="14.1166666666667" style="5" customWidth="1"/>
    <col min="5" max="5" width="14.825" style="5" customWidth="1"/>
    <col min="6" max="6" width="44.35" style="5" customWidth="1"/>
    <col min="7" max="7" width="27.5" style="5" customWidth="1"/>
    <col min="8" max="8" width="27.65" style="5" customWidth="1"/>
    <col min="9" max="9" width="27.2833333333333" style="5" customWidth="1"/>
    <col min="10" max="10" width="19.525" style="5" customWidth="1"/>
    <col min="11" max="11" width="16.35" style="5" customWidth="1"/>
    <col min="12" max="12" width="14.75" style="5" hidden="1" customWidth="1"/>
    <col min="13" max="13" width="14.75" style="6" hidden="1" customWidth="1"/>
    <col min="14" max="14" width="13.175" style="5" customWidth="1"/>
    <col min="15" max="15" width="15.8333333333333" style="5" customWidth="1"/>
    <col min="16" max="17" width="9" style="5"/>
    <col min="18" max="18" width="35.6916666666667" style="5" customWidth="1"/>
    <col min="19" max="19" width="17.6916666666667" style="7" customWidth="1"/>
    <col min="20" max="20" width="17.6916666666667" style="5"/>
    <col min="21" max="21" width="13.4083333333333" style="5" customWidth="1"/>
    <col min="22" max="22" width="22.1166666666667" style="5" customWidth="1"/>
    <col min="23" max="23" width="15.8333333333333" style="5" customWidth="1"/>
    <col min="24" max="24" width="20.2416666666667" style="8" customWidth="1"/>
    <col min="25" max="25" width="17.7666666666667" style="8" customWidth="1"/>
    <col min="26" max="26" width="18.6" style="5" customWidth="1"/>
    <col min="27" max="27" width="15.1666666666667" style="5" customWidth="1"/>
    <col min="28" max="28" width="12.825" style="5" customWidth="1"/>
    <col min="29" max="16384" width="9" style="9"/>
  </cols>
  <sheetData>
    <row r="1" s="1" customFormat="1" ht="45" customHeight="1" spans="1:28">
      <c r="A1" s="10" t="s">
        <v>0</v>
      </c>
      <c r="B1" s="11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1" t="s">
        <v>12</v>
      </c>
      <c r="N1" s="12" t="s">
        <v>13</v>
      </c>
      <c r="O1" s="12" t="s">
        <v>14</v>
      </c>
      <c r="P1" s="12" t="s">
        <v>15</v>
      </c>
      <c r="Q1" s="12"/>
      <c r="R1" s="12"/>
      <c r="S1" s="19"/>
      <c r="T1" s="12"/>
      <c r="U1" s="12"/>
      <c r="V1" s="12"/>
      <c r="W1" s="12"/>
      <c r="X1" s="20"/>
      <c r="Y1" s="20"/>
      <c r="Z1" s="12"/>
      <c r="AA1" s="12"/>
      <c r="AB1" s="12"/>
    </row>
    <row r="2" s="2" customFormat="1" ht="58" customHeight="1" spans="1:28">
      <c r="A2" s="10"/>
      <c r="B2" s="11"/>
      <c r="C2" s="12"/>
      <c r="D2" s="12"/>
      <c r="E2" s="12"/>
      <c r="F2" s="12"/>
      <c r="G2" s="12"/>
      <c r="H2" s="12"/>
      <c r="I2" s="12"/>
      <c r="J2" s="12"/>
      <c r="K2" s="12"/>
      <c r="L2" s="12"/>
      <c r="M2" s="11"/>
      <c r="N2" s="12"/>
      <c r="O2" s="12"/>
      <c r="P2" s="12" t="s">
        <v>16</v>
      </c>
      <c r="Q2" s="12" t="s">
        <v>17</v>
      </c>
      <c r="R2" s="12" t="s">
        <v>18</v>
      </c>
      <c r="S2" s="19" t="s">
        <v>19</v>
      </c>
      <c r="T2" s="12" t="s">
        <v>20</v>
      </c>
      <c r="U2" s="12" t="s">
        <v>21</v>
      </c>
      <c r="V2" s="11" t="s">
        <v>22</v>
      </c>
      <c r="W2" s="20" t="s">
        <v>23</v>
      </c>
      <c r="X2" s="20" t="s">
        <v>24</v>
      </c>
      <c r="Y2" s="11" t="s">
        <v>25</v>
      </c>
      <c r="Z2" s="12" t="s">
        <v>26</v>
      </c>
      <c r="AA2" s="11" t="s">
        <v>27</v>
      </c>
      <c r="AB2" s="11" t="s">
        <v>28</v>
      </c>
    </row>
    <row r="3" s="3" customFormat="1" customHeight="1" spans="1:28">
      <c r="A3" s="13">
        <v>1</v>
      </c>
      <c r="B3" s="14" t="s">
        <v>494</v>
      </c>
      <c r="C3" s="15">
        <v>46112</v>
      </c>
      <c r="D3" s="14" t="s">
        <v>30</v>
      </c>
      <c r="E3" s="14" t="s">
        <v>323</v>
      </c>
      <c r="F3" s="16" t="s">
        <v>65</v>
      </c>
      <c r="G3" s="16" t="s">
        <v>46</v>
      </c>
      <c r="H3" s="16" t="s">
        <v>66</v>
      </c>
      <c r="I3" s="14" t="s">
        <v>67</v>
      </c>
      <c r="J3" s="14" t="str">
        <f>_xlfn.XLOOKUP(H3,班组推进者!D:D,班组推进者!H:H,0)</f>
        <v>齐张燕</v>
      </c>
      <c r="K3" s="14" t="str">
        <f>_xlfn.XLOOKUP(H3,班组推进者!D:D,班组推进者!I:I,0)</f>
        <v>罗荣鑫</v>
      </c>
      <c r="L3" s="14"/>
      <c r="M3" s="17"/>
      <c r="N3" s="14" t="s">
        <v>36</v>
      </c>
      <c r="O3" s="14">
        <v>3</v>
      </c>
      <c r="P3" s="14" t="s">
        <v>68</v>
      </c>
      <c r="Q3" s="14" t="s">
        <v>50</v>
      </c>
      <c r="R3" s="14" t="s">
        <v>69</v>
      </c>
      <c r="S3" s="21">
        <f ca="1">YEAR(TODAY())-MID(R3,7,4)</f>
        <v>55</v>
      </c>
      <c r="T3" s="14" t="s">
        <v>70</v>
      </c>
      <c r="U3" s="14" t="s">
        <v>41</v>
      </c>
      <c r="V3" s="14" t="s">
        <v>53</v>
      </c>
      <c r="W3" s="15">
        <v>46112</v>
      </c>
      <c r="X3" s="22"/>
      <c r="Y3" s="14" t="s">
        <v>54</v>
      </c>
      <c r="Z3" s="14" t="s">
        <v>55</v>
      </c>
      <c r="AA3" s="14"/>
      <c r="AB3" s="14"/>
    </row>
    <row r="4" customHeight="1" spans="1:28">
      <c r="A4" s="13">
        <v>2</v>
      </c>
      <c r="B4" s="14" t="s">
        <v>29</v>
      </c>
      <c r="C4" s="15">
        <v>46108</v>
      </c>
      <c r="D4" s="14" t="s">
        <v>30</v>
      </c>
      <c r="E4" s="14" t="s">
        <v>323</v>
      </c>
      <c r="F4" s="14" t="s">
        <v>72</v>
      </c>
      <c r="G4" s="14" t="s">
        <v>282</v>
      </c>
      <c r="H4" s="14" t="s">
        <v>324</v>
      </c>
      <c r="I4" s="14" t="s">
        <v>325</v>
      </c>
      <c r="J4" s="14" t="str">
        <f>_xlfn.XLOOKUP(H4,班组推进者!D:D,班组推进者!H:H,0)</f>
        <v>张翔、段龙飞</v>
      </c>
      <c r="K4" s="14" t="str">
        <f>_xlfn.XLOOKUP(H4,班组推进者!D:D,班组推进者!I:I,0)</f>
        <v>刘友三</v>
      </c>
      <c r="L4" s="14"/>
      <c r="M4" s="14"/>
      <c r="N4" s="14" t="s">
        <v>36</v>
      </c>
      <c r="O4" s="18">
        <v>5</v>
      </c>
      <c r="P4" s="15" t="s">
        <v>326</v>
      </c>
      <c r="Q4" s="15" t="s">
        <v>50</v>
      </c>
      <c r="R4" s="73" t="s">
        <v>327</v>
      </c>
      <c r="S4" s="21">
        <v>58</v>
      </c>
      <c r="T4" s="15" t="s">
        <v>139</v>
      </c>
      <c r="U4" s="14" t="s">
        <v>41</v>
      </c>
      <c r="V4" s="23" t="s">
        <v>42</v>
      </c>
      <c r="W4" s="15">
        <v>46108</v>
      </c>
      <c r="X4" s="22"/>
      <c r="Y4" s="23" t="s">
        <v>54</v>
      </c>
      <c r="Z4" s="25" t="s">
        <v>41</v>
      </c>
      <c r="AA4" s="14"/>
      <c r="AB4" s="14"/>
    </row>
    <row r="5" customHeight="1" spans="1:28">
      <c r="A5" s="13">
        <v>3</v>
      </c>
      <c r="B5" s="14" t="s">
        <v>43</v>
      </c>
      <c r="C5" s="15">
        <v>46108</v>
      </c>
      <c r="D5" s="14" t="s">
        <v>30</v>
      </c>
      <c r="E5" s="14" t="s">
        <v>323</v>
      </c>
      <c r="F5" s="14" t="s">
        <v>72</v>
      </c>
      <c r="G5" s="14" t="s">
        <v>363</v>
      </c>
      <c r="H5" s="14" t="s">
        <v>364</v>
      </c>
      <c r="I5" s="14" t="s">
        <v>365</v>
      </c>
      <c r="J5" s="14" t="s">
        <v>495</v>
      </c>
      <c r="K5" s="14" t="s">
        <v>444</v>
      </c>
      <c r="L5" s="14"/>
      <c r="M5" s="17"/>
      <c r="N5" s="14" t="s">
        <v>36</v>
      </c>
      <c r="O5" s="14">
        <v>8</v>
      </c>
      <c r="P5" s="14" t="s">
        <v>366</v>
      </c>
      <c r="Q5" s="14" t="s">
        <v>50</v>
      </c>
      <c r="R5" s="69" t="s">
        <v>367</v>
      </c>
      <c r="S5" s="21">
        <v>52</v>
      </c>
      <c r="T5" s="14" t="s">
        <v>152</v>
      </c>
      <c r="U5" s="14" t="s">
        <v>41</v>
      </c>
      <c r="V5" s="17" t="s">
        <v>42</v>
      </c>
      <c r="W5" s="15">
        <v>46108</v>
      </c>
      <c r="X5" s="22"/>
      <c r="Y5" s="14" t="s">
        <v>54</v>
      </c>
      <c r="Z5" s="14" t="s">
        <v>41</v>
      </c>
      <c r="AA5" s="14"/>
      <c r="AB5" s="14"/>
    </row>
    <row r="6" customHeight="1" spans="1:28">
      <c r="A6" s="13">
        <v>4</v>
      </c>
      <c r="B6" s="14" t="s">
        <v>56</v>
      </c>
      <c r="C6" s="15">
        <v>46109</v>
      </c>
      <c r="D6" s="14" t="s">
        <v>30</v>
      </c>
      <c r="E6" s="14" t="s">
        <v>323</v>
      </c>
      <c r="F6" s="14" t="s">
        <v>496</v>
      </c>
      <c r="G6" s="14" t="s">
        <v>497</v>
      </c>
      <c r="H6" s="14" t="s">
        <v>498</v>
      </c>
      <c r="I6" s="14" t="s">
        <v>499</v>
      </c>
      <c r="J6" s="14" t="s">
        <v>495</v>
      </c>
      <c r="K6" s="14" t="s">
        <v>444</v>
      </c>
      <c r="L6" s="14"/>
      <c r="M6" s="17"/>
      <c r="N6" s="14" t="s">
        <v>36</v>
      </c>
      <c r="O6" s="14">
        <v>16</v>
      </c>
      <c r="P6" s="14" t="s">
        <v>500</v>
      </c>
      <c r="Q6" s="14" t="s">
        <v>50</v>
      </c>
      <c r="R6" s="69" t="s">
        <v>501</v>
      </c>
      <c r="S6" s="21">
        <v>37</v>
      </c>
      <c r="T6" s="14" t="s">
        <v>502</v>
      </c>
      <c r="U6" s="14" t="s">
        <v>41</v>
      </c>
      <c r="V6" s="14" t="s">
        <v>42</v>
      </c>
      <c r="W6" s="24">
        <v>46109</v>
      </c>
      <c r="X6" s="22"/>
      <c r="Y6" s="14" t="s">
        <v>54</v>
      </c>
      <c r="Z6" s="14" t="s">
        <v>41</v>
      </c>
      <c r="AA6" s="14"/>
      <c r="AB6" s="14"/>
    </row>
  </sheetData>
  <mergeCells count="16">
    <mergeCell ref="P1:Z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</mergeCells>
  <pageMargins left="0.75" right="0.75" top="1" bottom="1" header="0.511805555555556" footer="0.511805555555556"/>
  <pageSetup paperSize="9" scale="1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在册班组</vt:lpstr>
      <vt:lpstr>注销班组</vt:lpstr>
      <vt:lpstr>班组推进者</vt:lpstr>
      <vt:lpstr>在退役项目班组台账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糖糖</dc:creator>
  <cp:lastModifiedBy>韦瑞铭</cp:lastModifiedBy>
  <dcterms:created xsi:type="dcterms:W3CDTF">2016-12-02T08:54:00Z</dcterms:created>
  <dcterms:modified xsi:type="dcterms:W3CDTF">2026-07-02T05:04:38Z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8A5F15114FB248ECB89FF14BB4B6D5B1_13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