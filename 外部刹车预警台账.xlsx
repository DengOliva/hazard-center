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Yucon\Desktop\"/>
    </mc:Choice>
  </mc:AlternateContent>
  <bookViews>
    <workbookView windowHeight="20055" activeTab="7"/>
  </bookViews>
  <sheets>
    <sheet name="工程公司挂牌督办单" sheetId="1" r:id="rId1"/>
    <sheet name="红黄牌" sheetId="2" r:id="rId2"/>
    <sheet name="工程公司管理约谈" sheetId="3" r:id="rId3"/>
    <sheet name="工程公司处理通报" sheetId="4" r:id="rId4"/>
    <sheet name="工程公司通报批评" sheetId="5" r:id="rId5"/>
    <sheet name="工程公司整改单" sheetId="6" r:id="rId6"/>
    <sheet name="工程公司停工令" sheetId="7" r:id="rId7"/>
    <sheet name="监理业主整改通知单"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<sst xmlns="http://schemas.openxmlformats.org/spreadsheetml/2006/main" count="1946" uniqueCount="912">
  <si>
    <t>序号</t>
  </si>
  <si>
    <t>签发部门</t>
  </si>
  <si>
    <t>督办单发出人</t>
  </si>
  <si>
    <t>整改单号</t>
  </si>
  <si>
    <t>主题</t>
  </si>
  <si>
    <t>问题类型</t>
  </si>
  <si>
    <t>发出日期</t>
  </si>
  <si>
    <t>整改期限</t>
  </si>
  <si>
    <t>责任部门</t>
  </si>
  <si>
    <t>责任人</t>
  </si>
  <si>
    <t>涉及区域</t>
  </si>
  <si>
    <t>涉及分包</t>
  </si>
  <si>
    <t>涉及班组</t>
  </si>
  <si>
    <t>是否关闭</t>
  </si>
  <si>
    <t>HSF</t>
  </si>
  <si>
    <t>黄邵昀</t>
  </si>
  <si>
    <t>MP-318-012</t>
  </si>
  <si>
    <t>1中建二局临时用电安全隐患的挂牌督办</t>
  </si>
  <si>
    <t>临时用电</t>
  </si>
  <si>
    <t>/</t>
  </si>
  <si>
    <t>水电队</t>
  </si>
  <si>
    <t>齐张燕</t>
  </si>
  <si>
    <t>吴再胜综合班</t>
  </si>
  <si>
    <t>是</t>
  </si>
  <si>
    <t>吴文能</t>
  </si>
  <si>
    <t>BT-DB-HSF-2025-001</t>
  </si>
  <si>
    <t>2各单位户外配电箱外壳防护等级不满足规范要求的挂牌督办</t>
  </si>
  <si>
    <t>全场</t>
  </si>
  <si>
    <t>黄华志</t>
  </si>
  <si>
    <t>BT-DB-HSF-2025-002</t>
  </si>
  <si>
    <t>3中建二局、中铁五局、中铁建工危废管理不满足规范要求的挂牌督办</t>
  </si>
  <si>
    <t>环境保护</t>
  </si>
  <si>
    <t>物资部</t>
  </si>
  <si>
    <t>王晓光</t>
  </si>
  <si>
    <t>危化品库房</t>
  </si>
  <si>
    <t>CMF</t>
  </si>
  <si>
    <t>BT-DB-HSF-2026-002</t>
  </si>
  <si>
    <t>4 关于现场电缆敷设不满足公司硬举措要求的挂牌督办</t>
  </si>
  <si>
    <t>临建区及搅拌站</t>
  </si>
  <si>
    <t>杨颜铮</t>
  </si>
  <si>
    <t>BT-DB-HSF-2026-004</t>
  </si>
  <si>
    <t>5关于对中建二局环保工作行动项推进不力的挂牌督办</t>
  </si>
  <si>
    <t>钢结构队、综合车间</t>
  </si>
  <si>
    <t>李波、韦伴锋</t>
  </si>
  <si>
    <t>温炜翔</t>
  </si>
  <si>
    <t>BT-DB-HSF-2026-007</t>
  </si>
  <si>
    <t>关于对中建二局、安徽电建群塔作业安全问题的挂牌督办</t>
  </si>
  <si>
    <t>起重吊装</t>
  </si>
  <si>
    <t>机械队</t>
  </si>
  <si>
    <t>田小刚、杨剑雄</t>
  </si>
  <si>
    <t>BT-DB-HSF-2026-010</t>
  </si>
  <si>
    <t>关于对中建二局、安徽电建、中铁五局应急安全问题的挂牌督办</t>
  </si>
  <si>
    <t>应急</t>
  </si>
  <si>
    <t>韦重凯</t>
  </si>
  <si>
    <t>BT-DB-HSF-2026-011</t>
  </si>
  <si>
    <t>关于中建二局脚手架未按要求搭设踏步梯问题的挂牌督办</t>
  </si>
  <si>
    <t>脚手架及平台</t>
  </si>
  <si>
    <t>核岛一队</t>
  </si>
  <si>
    <t>罗园杰</t>
  </si>
  <si>
    <t>CCF</t>
  </si>
  <si>
    <t>莫振勇</t>
  </si>
  <si>
    <t>BT-DB-HSF-2026-013</t>
  </si>
  <si>
    <t>关于中建二局土石方机械设备管理不到位问题的挂牌督办</t>
  </si>
  <si>
    <t>机械器具</t>
  </si>
  <si>
    <t>BOP队</t>
  </si>
  <si>
    <t>段龙飞</t>
  </si>
  <si>
    <t>6 号核岛回填料堆放区</t>
  </si>
  <si>
    <t>茂名建筑集团第三有限公司</t>
  </si>
  <si>
    <t>杨亚堂机械班</t>
  </si>
  <si>
    <t>发生地点</t>
  </si>
  <si>
    <t>责任班组</t>
  </si>
  <si>
    <t>偏差类型</t>
  </si>
  <si>
    <t>偏差等级</t>
  </si>
  <si>
    <t>偏差描述</t>
  </si>
  <si>
    <t>处理措施</t>
  </si>
  <si>
    <t>积分分值</t>
  </si>
  <si>
    <t>分包单位</t>
  </si>
  <si>
    <t>吴再胜</t>
  </si>
  <si>
    <t>工程部</t>
  </si>
  <si>
    <t>1月6日，工程公司检查发现预应力车间消防设施巡检记录显示正常，与实际不符，经核实发现当天吴再胜未前往预应力车间对该消火栓进行每日巡查，未落实项目部消火栓每日巡查工作</t>
  </si>
  <si>
    <t>黄牌</t>
  </si>
  <si>
    <t>吴运华</t>
  </si>
  <si>
    <t>2025年1月13日，HSE分部检查中建二局临建二区木工车间屋面压型钢板安装高风险作业时发现，高风险安全控制表中的“压型钢板安装”施工步骤H点未签字就开展压型钢板安装作业，属于越点施工行为，不满足项目部高风险作业管控要求。</t>
  </si>
  <si>
    <t>李明贵</t>
  </si>
  <si>
    <t>2025年2月25日，HSE分部检查发现中建二局临建二区机修车间吴运华班组现场使用的磨光机和砂轮片未经入场验收，且砂轮片外边缘的安全线速度为70m/s，不满足程序及规范要求。</t>
  </si>
  <si>
    <t>邱成友</t>
  </si>
  <si>
    <t>2025年7月4日，HSE分部检查发现中建二局临建区喷砂车间喷砂机检修受限空间作业存在通风措施失效、应急通讯不畅通、动火作业审批不规范等问题，不满足受限空间作业安全管理要求。针对上诉问题，项目部于7月4日发出《关于中建二局受限空间作业管理不到位的通报批评》BT-TB-HSF-2025-005。
经核实，中建二局工长邱成友对喷砂车间受限空间作业安全管控失效，安全履职不到位，给予邱成友发出“黄牌”通知单。</t>
  </si>
  <si>
    <t>张富</t>
  </si>
  <si>
    <t>2025年9月2日，HSE分部检查5-5#塔吊基础施工，发现现场脚手架搭设高度达到9米，属于B级高风险作业，未按要求进行高风险作业信息申报及签点释放，不满足《作业安全管理规定》的要求经核实，中建二局核岛一队工长张富(工号:C227120)对脚手架搭设班组交底不到位，针对本次作业未申报高风险作业信息负第一责任，导致此作业越点施工，安全履职不到位，给予张富发出“黄牌”通知单。</t>
  </si>
  <si>
    <t>廖胜利</t>
  </si>
  <si>
    <t>2025年9月9日，我部检查发现中建二局5-2#塔吊基础施工高处作业安全带挂点主节点扣件未紧固，钢管水平方向采用对接扣件连接已出现弯曲现象，现场设置的作业平台跳板铺设在未绑扎的水平筋上方，作业人员使用该未经验收的平台进行施工存在平台倾倒人员坠落风险。
经核实，中建二局核岛一队班长廖胜利(工号:C234157)对现场施工作业安全管控失效，安排作业人员使用未经验收的安全带挂点及作业平台，安全管理履职不到位，现依据规定给予廖胜利发出“黄牌通知单。</t>
  </si>
  <si>
    <t>黄治朝</t>
  </si>
  <si>
    <t>2025年10月25日，HSE分部检查5号核岛负挖区域，发现中建二局二级配电箱涉电电缆端接作业未按要求申报B类高风险作业,属越点施工，涉电电缆端接越点情况项目部已于10月17日发现并要求整改，截至目前仍整改不彻底。
项目部对此问题进行履职情况调查，发现中建二局水电队工长黄治朝(工号:C227160)对涉电高风险作业管理不到位，且对区域负责人10月17日发现的同类问题未及时安排整改，安全履职不到位，给予黄治朝发出“黄牌”通知单。</t>
  </si>
  <si>
    <t>桂杨</t>
  </si>
  <si>
    <t>安监部</t>
  </si>
  <si>
    <t>2025年10月28日，我部检查发现中建二局消防重点部位存在以下问题:1)消防重点部位台账登记3处，现场实际共13处，台账与实际明显不符:2)临建三期危险化学品中转库、集中充电点未开每日防火巡查;3)抽查10月25日~27日消防重点部位每日巡查拍照打卡情况，每日防火巡查打卡仅3处(应打卡13处)。上述问题项目部已于9月29日发出《关于中建二局消防重点部位管理不到位的通报批评》截至目前仍整改不彻底。
经核实，中建二局消防安全专项管理责任人桂杨对消防重点部位管安全监督管理履职不到位，给予桂杨发出“黄牌”通知单</t>
  </si>
  <si>
    <t>甘昌锦</t>
  </si>
  <si>
    <t>10月29日，HSE分部检查发现钢衬里模块1拼装平台钢板调整过程中起重工器具超负荷使用、手拉葫芦挂钩侧向受力以及高处临边缺少防护措施等问题，存在较大机械伤害风险。
经核实，中建二局工长甘昌锦(工号:207947)负责本次拼装平台安装作业，未严格按方案要求施工，安全履职不到位，给予甘昌锦发出“黄牌”通知单。</t>
  </si>
  <si>
    <t>潘召阳</t>
  </si>
  <si>
    <t>2025年11月22日，HSE分部检查5号核岛塔吊区域，发现中建二局5-5塔吊广告牌安装作业坠落高度超过30m，属A类高风险作业，但实际现场以 B类高风险作业进行申报,且该作业“H点”未经项目专业队办审批即开始施工，属“越点施工”行为。
项目部对此问题进行履职情况调查，发现中建二局潘召阳(工号:C242933)对A类高风险作业管理不到位，给予潘召阳发出“黄牌”通知单。</t>
  </si>
  <si>
    <t>BRX</t>
  </si>
  <si>
    <t>李立峰</t>
  </si>
  <si>
    <t>谢亮防水班</t>
  </si>
  <si>
    <t>管理行为</t>
  </si>
  <si>
    <t>C</t>
  </si>
  <si>
    <t>1月14日检查环廊区域，发现高处防水作业下方未建立控制区，使用的工器具未落实防坠要求，使用加热设备作业人员未按要求佩戴隔热手套，动火作业未指定监护人员，现场缺少夹片式立柱，类似问题于1月12日及1月13日现场已提出，未得到有效整改。
对履职不到位管理人员开黄牌警告处理，中建二局对黄牌人员进行约谈。</t>
  </si>
  <si>
    <t>黄牌警告,反思教育</t>
  </si>
  <si>
    <t>-4</t>
  </si>
  <si>
    <t>北京东方雨虹防水工程有限公司</t>
  </si>
  <si>
    <t>杨亚堂</t>
  </si>
  <si>
    <t>高春芳机械班</t>
  </si>
  <si>
    <t>B</t>
  </si>
  <si>
    <t>2026年1月27日，我部检查发现中建二局违规搭载1名无授权人员进入厂区进行挖掘机维修作业，该人员进入施工现场作业时未按要求穿戴劳保用品，性质恶劣。针对此问题我部已发函处理，经核实，中建二局杨亚堂（工号：C133620）对入场人员管控失效，安全履职不到位，给予杨亚堂发出“黄牌”通知单。</t>
  </si>
  <si>
    <t>-6</t>
  </si>
  <si>
    <t>茂名建筑集团第三有限公司（杨亚堂班）</t>
  </si>
  <si>
    <t>生产临建二区物资总库</t>
  </si>
  <si>
    <t>牟静</t>
  </si>
  <si>
    <t>冯海录钢筋班</t>
  </si>
  <si>
    <t>作业行为</t>
  </si>
  <si>
    <t>3月9日，检查中建二局临建二区总库堆场汽车吊介入22号塔吊区域吊装作业，发现塔吊指挥未参加安全技术交底。对责任工长安全交底不到位开出黄牌警告及停卡一天处理。</t>
  </si>
  <si>
    <t>黄牌警告,停止入场授权1天</t>
  </si>
  <si>
    <t>嘉兴珅汇建筑安装工程有限公司（金定全班）</t>
  </si>
  <si>
    <t>搅拌站</t>
  </si>
  <si>
    <t>魏智广</t>
  </si>
  <si>
    <t>3月17日中建二局搅拌站焊接动火作业人员无焊工证，属于无证上岗，区域管理人员监督管理不到位，未及时制止该违章行为。</t>
  </si>
  <si>
    <t>黄牌警告</t>
  </si>
  <si>
    <t>中国建筑第二工程局有限公司核电建设分公司</t>
  </si>
  <si>
    <t>胡顺行</t>
  </si>
  <si>
    <t>钢结构队</t>
  </si>
  <si>
    <t>何良坤焊工班</t>
  </si>
  <si>
    <t>2026年4月4日，中建二局作业人员胡顺行（工号：C227767）在进入基地大门时，我部保卫人员对其进行酒精抽查检测，测试结果酒精含量达到106mg/100ml，不满足项目程序规定不得超过20mg/100ml的要求。</t>
  </si>
  <si>
    <t>红牌</t>
  </si>
  <si>
    <t>生产临建三区集装箱</t>
  </si>
  <si>
    <t>黄浚锋</t>
  </si>
  <si>
    <t>黄永彪保安队</t>
  </si>
  <si>
    <t>A</t>
  </si>
  <si>
    <t>4月30日晚检查中建二局临建三区集中充电点，发现巡查记录表已填写至“5月1日04:00”，工作记录提前签字，违章性质恶劣，对责任人拉入黑名单处理。</t>
  </si>
  <si>
    <t>红牌,永久纳入黑名单</t>
  </si>
  <si>
    <t>-8</t>
  </si>
  <si>
    <t>南宁猛龙保安服务有限公司</t>
  </si>
  <si>
    <t>殷德俊</t>
  </si>
  <si>
    <t>李蕾架工班</t>
  </si>
  <si>
    <t>4月28日，核鹏监理工程师检查7BGS管网96区2号工作井区域时，发现该区域脚手架已经搭设到第四步，但未设置抛撑，并就此问题发出监理通知单要求整改。5月7日，HSE分部检查该区域发现该脚手架修改后抛撑未与地面固定连接，整改不彻底。</t>
  </si>
  <si>
    <t>四川金泰荣和建筑劳务有限公司（孙俊良班）</t>
  </si>
  <si>
    <t>5#核岛模块化场地</t>
  </si>
  <si>
    <t>李超</t>
  </si>
  <si>
    <t>金属试验室</t>
  </si>
  <si>
    <t>模块化场地无损渗透检测作业，地面未采取防渗漏措施，过程中渗透剂直接滴到地面上，存在环保隐患，类似问题监理已发出监理通知单，问题重发未得到有效整改，对责任人开黄牌处理。</t>
  </si>
  <si>
    <t>-2</t>
  </si>
  <si>
    <t>BDA/U</t>
  </si>
  <si>
    <t>谭咏杰</t>
  </si>
  <si>
    <t>BDAU厂房钻孔作业，作业过程中扬尘较大，未按方案要求砌筑挡水坎阻止泥浆外流，一处直径40cm孔洞使用钢盖板覆盖缺少防位移措施形成“陷阱”，类似问题近期重发，未得到有效整改，对责任工长开黄牌处理。</t>
  </si>
  <si>
    <t>田小刚</t>
  </si>
  <si>
    <t>田小刚塔吊班</t>
  </si>
  <si>
    <t>5月12日下午检查发现5-3塔吊区域，先后两名指挥在不同时段起重作业时未进行每钩打卡，且5月11日监控也发现有塔吊班组成员起重作业未开展每钩打卡的现象，班组长对此情况管控不到位</t>
  </si>
  <si>
    <t>四川德鑫隆建筑劳务有限公司（田小刚班）</t>
  </si>
  <si>
    <t>练银峰</t>
  </si>
  <si>
    <t>杨永昌铆工班</t>
  </si>
  <si>
    <t>临建一区钢结构车间南侧杨永昌班组工人违规使用千斤顶，千斤顶悬浮受力并且底部未垫实，存在千斤顶脱落风险，给予千斤顶使用人发出行为纠偏处理。</t>
  </si>
  <si>
    <t>广西三卓建筑劳务有限公司（钟光荣班）</t>
  </si>
  <si>
    <t>武警营地西侧、北侧新建道路</t>
  </si>
  <si>
    <t>李雪霞</t>
  </si>
  <si>
    <t>王增军机械班</t>
  </si>
  <si>
    <t>5月12日，监控检查发现中建二局原算力中心堆场波纹管卸车吊装作业，多根波纹管采用兜吊的方式起吊，吊带未打双圈，存在起重伤害风险。</t>
  </si>
  <si>
    <t>黄牌警告,取消岗位授权,停止入场授权1天</t>
  </si>
  <si>
    <t>苍南马核贸易有限公司</t>
  </si>
  <si>
    <t>BGZ廊道</t>
  </si>
  <si>
    <t>5月14日监控值班发现中建二局BGZ廊道2号车道区域，加油车在非加油点加油，未提交自证流程，未做防静电措施，未配备灭火器，存在火险隐患，对作业负责人开黄牌处理。</t>
  </si>
  <si>
    <t>黄永彪</t>
  </si>
  <si>
    <t>临建三区集中充电点未按要求开展每日防火巡查，不满足项目管理要求。</t>
  </si>
  <si>
    <t>-7</t>
  </si>
  <si>
    <t>生产临建二区机修车间</t>
  </si>
  <si>
    <t>皮雷</t>
  </si>
  <si>
    <t>5月18日，检查临建二区机修车间，发现装修班组私自随车携带5瓶自动喷漆进入作业现场未办理危化品携物单，不满足危化品硬举措要求，对责任人开出行为纠偏处理。</t>
  </si>
  <si>
    <t>中建电力建设服务（广东）有限公司</t>
  </si>
  <si>
    <t>生产临建一区钢结构车间</t>
  </si>
  <si>
    <t>覃益荣</t>
  </si>
  <si>
    <t>李刚铆工班</t>
  </si>
  <si>
    <t>2026年5月19日，监控视频检查发现中建二局钢结构车间铆工覃益荣私自开展电焊作业，未持有焊接与热切割特种作业操作证，属于无证作业，违反项目部安全管理要求。</t>
  </si>
  <si>
    <t>红牌,纳入黑名单一年</t>
  </si>
  <si>
    <t/>
  </si>
  <si>
    <t>河南诚云建筑劳务有限公司（张海云班）</t>
  </si>
  <si>
    <t>BNX</t>
  </si>
  <si>
    <t>BNX厂房钢筋施工，因RPE管道阻挡，导致3处H型支架间距设置为2米×2.3米，不满足方案2米×2米进行设置的要求，且未按方案要求增加T型马凳进行补强，目前该区域已施加荷载，存在钢筋倒塌安全隐患，对责任工长开黄牌处理。</t>
  </si>
  <si>
    <t>周雷</t>
  </si>
  <si>
    <t>5月28日，夜间检查发现厂房西侧多名作业人员踩在未绑扎固定的钢筋上进行钢筋搬运作业，作业面落差1.7米，多名作业人员缺少防坠措施。且进出该区域钢筋作业面无作业平台及人员进出通道，5月29日检查发现该类问题仍重复发生，区域安全管理履职不到位。</t>
  </si>
  <si>
    <t>-13</t>
  </si>
  <si>
    <t>5#核岛塔吊区域</t>
  </si>
  <si>
    <t>徐官保</t>
  </si>
  <si>
    <t>中建二局与安徽电建群塔作业时双方指挥使用的对讲机型号不一致，影响实时有效沟通，不满足项目部发函统一对讲机的要求，且中建二局5-8塔吊未定人定机，不满足塔吊18条硬举措的要求。</t>
  </si>
  <si>
    <t>李述明</t>
  </si>
  <si>
    <t>钟绍林木工班</t>
  </si>
  <si>
    <t>5号核岛2号车道下坡段缺少人车分流措施，禁止人员通行，检查发现何天斌木工班组个别人员进入该机动车道通行，存在较大交通安全隐患，对责任人开黄牌处理。</t>
  </si>
  <si>
    <t>四川鑫传旺和建筑劳务有限公司（张辉兵班）</t>
  </si>
  <si>
    <t>生产临建一区</t>
  </si>
  <si>
    <t>谭传明</t>
  </si>
  <si>
    <t>谭传明铆工班</t>
  </si>
  <si>
    <t>6月8日，检查中建二局临建一区钢结构堆场作业，发现谭传明班组现场使用的角磨机及鼓风机违规从多孔插头引出，形成一闸多机不满足程序要求。经核实为班组私自采购未经验收已投入使用。</t>
  </si>
  <si>
    <t>河南核源建筑工程有限公司（刘金骜班）</t>
  </si>
  <si>
    <t>罗荣鑫</t>
  </si>
  <si>
    <t>6月9日中午检查5号核岛区域午间作业，发现现场仅有一名安全员午间值班，其他3名安全员均不在岗，存在履职不到位现象。</t>
  </si>
  <si>
    <t>冯海浪</t>
  </si>
  <si>
    <t>张强木工班</t>
  </si>
  <si>
    <t>宁以源</t>
  </si>
  <si>
    <t>徐荣辅助班组</t>
  </si>
  <si>
    <t>四川博瑞恒升建设工程有限公司（李俊寰班）</t>
  </si>
  <si>
    <t>检查核岛区域发现共计20个水泵控制箱缺少防护等级信息，无法证明是否满足规范IP44的要求，且未按要求录入ICS工具系统未张贴二维码，对配电箱管理不到位责任人开黄牌处理。</t>
  </si>
  <si>
    <t>中国建筑第二工程局有限公司</t>
  </si>
  <si>
    <t>谭健健</t>
  </si>
  <si>
    <t>6月20日，检查日会表格，发现中建二局多个行动项未清楚填写整改日期等信息，且在此之前，HSE分部已针对表格填写问题多次向中建二局提出完善表格的要求</t>
  </si>
  <si>
    <t>中南国际科技发展（深圳）有限公司</t>
  </si>
  <si>
    <t>谢明根</t>
  </si>
  <si>
    <t>陶晓勇探伤班</t>
  </si>
  <si>
    <t>2026年6月22日，HSE分部检查发现中建二局夜间探伤作业视频仅记录了当晚单次曝光的完整录像，其余曝光过程无影像记录。项目部已于6月16日明确管理要求，“探伤作业须对每次曝光过程进行记录”，中建二局未严格落实，现对管理责任人发出黄牌警告。</t>
  </si>
  <si>
    <t>王支泽</t>
  </si>
  <si>
    <t>6月22日，HSE分部检查发现中建二局BGS管网顶管施工2号工作井有限空间作业未按要求申报B级高风险作业信息，越点施工，现场实际间隔30分钟记录气体数据，不满足项目部及规范要求。对责任工长开黄牌处理。</t>
  </si>
  <si>
    <t>杨思远</t>
  </si>
  <si>
    <t>项目部要求中建二局6月12日之前组织并反馈《核应急准备与响应基础知识》培训记录，6月23日前多次提醒要求反馈培训材料，仍未反馈。</t>
  </si>
  <si>
    <t>赵强强</t>
  </si>
  <si>
    <t>6月27日夜间，检查发现中建二局核岛北侧挡墙浇筑过程中出现无施工管理人员、无作业负责人在场情况，中建二局夜间值班安全总监赵强强提前离场，未对现场有效管控，对其发黄牌警示。</t>
  </si>
  <si>
    <t>-5</t>
  </si>
  <si>
    <t>王奋泽</t>
  </si>
  <si>
    <t>中建二局临建三区055号集装箱存在非集中充电点对讲机违规充电现象，不满足项目安全管理要求，存在较大消防安全隐患，对责任人黄牌警告处理。</t>
  </si>
  <si>
    <t>函件编号</t>
  </si>
  <si>
    <t>处罚金额</t>
  </si>
  <si>
    <t>备注</t>
  </si>
  <si>
    <t>007-BT-GBNS-NJTS-250003</t>
  </si>
  <si>
    <t>01关于对中建二局员工酒精检测超标处理的函</t>
  </si>
  <si>
    <t>——</t>
  </si>
  <si>
    <t>冉术林</t>
  </si>
  <si>
    <t>007-BT-L-GBNS-Q-YYYY-250029</t>
  </si>
  <si>
    <t>02007-BT-L-GBNS-Q-YYYY-250029 关于加强施工单位机动车辆车龄、行驶里程管控通知的函</t>
  </si>
  <si>
    <t>007-BT-L-GBNS-Q-YYYY-250032</t>
  </si>
  <si>
    <t>03007-BT-L-GBNS-Q-YYYY-250032 请各单位落实混凝土泵送作业安全措施的函</t>
  </si>
  <si>
    <t>007-BT-GBNS-NJTS-250004</t>
  </si>
  <si>
    <t>04关于对中建二局搅拌站电源箱没有验收即送电问题处理的函</t>
  </si>
  <si>
    <t>007-BT-GBNS-NJTS-250005</t>
  </si>
  <si>
    <t>05关于对中建二局员工违规流动吸烟处理的函</t>
  </si>
  <si>
    <t>刘金骜</t>
  </si>
  <si>
    <t>黄旭宁</t>
  </si>
  <si>
    <t>007-BT-L-GBNS-Q-NJTS-250006</t>
  </si>
  <si>
    <t>06关于对中建二局非集中充电点违规充电处理的函</t>
  </si>
  <si>
    <t>临建三区</t>
  </si>
  <si>
    <t>007-BT-L-GBNS-Q-NJTS-250007</t>
  </si>
  <si>
    <t>07关于对中建二局电气设备检修作业管理不到位处理的函</t>
  </si>
  <si>
    <t>007-BT-L-GBNS-Q-NTTS-250008</t>
  </si>
  <si>
    <t>08关于对中建二局非集中充电点违规充电及人员流动吸烟处理的函</t>
  </si>
  <si>
    <t>综合车间、钢结构队</t>
  </si>
  <si>
    <t>临建屈办公区</t>
  </si>
  <si>
    <t>周良友综合班</t>
  </si>
  <si>
    <t>007-BT-L-GBNS-Q-NTTS-250009</t>
  </si>
  <si>
    <t>09关于对中建二局人员流动吸烟处理的函</t>
  </si>
  <si>
    <t>综合管理部</t>
  </si>
  <si>
    <t>项目部</t>
  </si>
  <si>
    <t>陈德</t>
  </si>
  <si>
    <t>程荣新</t>
  </si>
  <si>
    <t>007-BT-L-GBNS-Q-NTTS-250010</t>
  </si>
  <si>
    <t>10关于对中建二局自制吊耳未经计算验收投入使用处理的函</t>
  </si>
  <si>
    <t>钢结构车间</t>
  </si>
  <si>
    <t>杨霜霜铆工班</t>
  </si>
  <si>
    <t>李波</t>
  </si>
  <si>
    <t>007-BT-L-GBNS-Q-NTTS-250011</t>
  </si>
  <si>
    <t>11关于对中建二局违规运输建筑垃圾处理的函</t>
  </si>
  <si>
    <t>高春芳机械综合班</t>
  </si>
  <si>
    <t>007-BT-L-GBNS-Q-NJTS-250012</t>
  </si>
  <si>
    <t>12关于对中建二局人员无证从事电缆端接作业处理的函</t>
  </si>
  <si>
    <t>007-BT-L-GBNS-Q-NJTS-250013</t>
  </si>
  <si>
    <t>13关于要求贵部对射线探伤不规范问题进行整改的函</t>
  </si>
  <si>
    <t>007-BT-L-GBNS-Q-YYYY-250057</t>
  </si>
  <si>
    <t>14关于发布施工辅助作业人员安全管控优化指引清单的函</t>
  </si>
  <si>
    <t>007-BT-L-NJTS-Q-GBNS-250003</t>
  </si>
  <si>
    <t>007-BT-L-GBNS-Q-NJTS-250014</t>
  </si>
  <si>
    <t>15关于对中建二局非集中充电点违规充电处理的函</t>
  </si>
  <si>
    <t>007-BT-L-GBNS-Q-NJTS-250015</t>
  </si>
  <si>
    <t>16关于对中建二局A类高风险作业越点施工处理的函</t>
  </si>
  <si>
    <t>5#核岛</t>
  </si>
  <si>
    <t>广告公司</t>
  </si>
  <si>
    <t>007-BT-L-GBNS-Q-NJTS-250016</t>
  </si>
  <si>
    <t>17关于对中建二局人员高处作业安全带脱双钩处理的函 批示版</t>
  </si>
  <si>
    <t>007-BT-L-GBNS-Q-NJTS-250017</t>
  </si>
  <si>
    <t xml:space="preserve">18关于对中建二局违规搭载无证人员入场处理的函 </t>
  </si>
  <si>
    <t>083-BT-L-HPXS-G-YYYY-000035</t>
  </si>
  <si>
    <t xml:space="preserve">19关于中建二局旋挖钻机操作人员证件造假的监理通知单的函 </t>
  </si>
  <si>
    <t xml:space="preserve">007-BT-L-GBNS-Q-NJTS-250018 </t>
  </si>
  <si>
    <t xml:space="preserve">20关于中建二局无资质人员搭设脚手架问题重发处理的函 </t>
  </si>
  <si>
    <t>083-BT-L-HPXS-G-YYYY-000044</t>
  </si>
  <si>
    <t>21 083-BT-L-HPXS-G-YYYY-000044 -发送《关于防城港核电项目2025年强制性条文执行情况专项检查报告的监理通知单》的函 批示版</t>
  </si>
  <si>
    <t>007-BT-L-GBNS-Q-NJTS-250022</t>
  </si>
  <si>
    <t>关于对中建二局非集中充电点违规充电处理的函</t>
  </si>
  <si>
    <t>合同违约金 3000 元</t>
  </si>
  <si>
    <t>核岛一队、搅拌站</t>
  </si>
  <si>
    <t>中建二局临建三区 34 号及 51 号集装箱、
搅拌站 235 号集装箱（非集中充电点）</t>
  </si>
  <si>
    <t>2025 年 12 月 29 日，我部检查发现中建二局临建三区 34 号及 51 号集装箱、
搅拌站 235 号集装箱（非集中充电点）存在对讲机电池及电子秤违规充电现象，
不满足项目安全管理要求，存在较大消防安全隐患。
根 据 《 广 西 防 城 港 核 电 厂 5 、 6 号 机 组 核 岛 土 建 工 程 合 同 》
（007-BT-B-2023-C82-P.C.10-00086）中相关条款， 对中建二局处理如下：
1、对中建二局进行全场通报批评，并扣除合同违约金 3000 元；
2、请中建二局对该问题调查并对责任人进行处理。
请贵司加强集中充电点安全管理，严格落实以上要求。</t>
  </si>
  <si>
    <t>007-BT-L-GBNS-Q-NJTS-250023</t>
  </si>
  <si>
    <t>关于对中建二局设备维修作业配电箱未挂牌上锁问题处理的函</t>
  </si>
  <si>
    <t>合同违约金 1000 元</t>
  </si>
  <si>
    <t>综合车间</t>
  </si>
  <si>
    <t>木工车间</t>
  </si>
  <si>
    <t>2026 年 1 月 20 日，我部检查中建二局木工车间带锯机更换皮带维修作业发
现配电箱未挂牌上锁，存在误操作设备转动导致机械伤害风险。
根 据 《 广 西 防 城 港 核 电 厂 5 、 6 号 机 组 核 岛 土 建 工 程 合 同 》
（007-BT-B-2023-C82-P.C.10-00086）中相关条款， 对中建二局处理如下：
1、对中建二局进行通报批评，并扣除合同违约金 1000 元；
2、请中建二局对该问题调查并对责任人进行处理。
请贵司加强机械设备检修安全管理，严格落实以上要求。</t>
  </si>
  <si>
    <t>007-BT-L-GBNS-Q-NJTS-250024</t>
  </si>
  <si>
    <t>关于对中建二局违规搭载无证人员入场问题处理的函</t>
  </si>
  <si>
    <t>人员行为</t>
  </si>
  <si>
    <t>违约金壹万元</t>
  </si>
  <si>
    <t>厂区</t>
  </si>
  <si>
    <t>2026 年 1 月 27 日，我部检查发现中建二局违规搭载 1 名无授权人员进入厂
区进行挖掘机维修作业，性质恶劣。
针对上述问题，依据《广西防城港核电厂5、6号机组核岛土建工程合同》（合
同编号：007-BT-B-2023-C82-P.C.10-00086）违约条款“其他发包人视情节认定
的情形”，决定处理如下：
1、对中建二局进行全场通报批评，并扣除合同违约金壹万元（10000.00
元）；
2、对管理责任人人杨亚堂（C133620）发出黄牌通知单。
请贵部引以为戒，制定相关管控措施，避免类似问题重发。</t>
  </si>
  <si>
    <t>007-BT-L-GBNS-Q-NJTS-250025</t>
  </si>
  <si>
    <t>关于对中建二局违规使用高空作业车问题处理的函</t>
  </si>
  <si>
    <t>高处作业</t>
  </si>
  <si>
    <t>搅拌站罐体护栏安装</t>
  </si>
  <si>
    <t>2026 年 1 月 26 日，HSE 分部检查发现中建二局搅拌站罐体护栏安装作业，
违规使用高空作业车作为人员上下通道，人员从高空作业车上直接翻越到罐体顶
部进行作业，高空距地面落差约 21 米，不满足规范要求。
依据《举升式升降工作平台安全实用规程》GB/T39747-2021 11.1 “举升平
台不应用作升降机或提升机，将人员或物料从某一层运送到其他层”。
根 据 《 广 西 防 城 港 核 电 厂 5 、 6 号 机 组 核 岛 土 建 工 程 合 同 》
（007-BT-B-2023-C82-P.C.10-00086）中相关条款扣除贵部合同违约金壹万元
（10000.00 元）。
请贵司务必加强高空作业安全管理，确保现场施工安全。
1、制定人员罐体护栏安装作业控制措施，优先采用地面组装罐体护栏本质
安全举措降低作业风险，禁止使用高空作业车作为罐体上下通道；
2、组织高空作业车操作人员和管理人员开展高空作业车使用安全要求专项</t>
  </si>
  <si>
    <t>007-BT-L-GBNS-Q-NJTS-250027</t>
  </si>
  <si>
    <t>关于对中建二局人员流动吸烟处理的函</t>
  </si>
  <si>
    <t>消防与动火</t>
  </si>
  <si>
    <t>违约金伍仟元</t>
  </si>
  <si>
    <t>临建一区钢结构队集装箱内</t>
  </si>
  <si>
    <t>2026 年 5 月 8 日，我部检查发现中建二局临建一区钢结构队集装箱内有 5
枚烟蒂，存在人员流动吸烟现象，违反项目部安全管理规定。
针对上述问题，根据《广西防城港核电厂 5、6 号机组核岛土建工程合同》
（合同编号：007-BT-B-2023-C82-P.C.10-00086）中违约条款“承包人人员存在
以下严重违章行为的，扣除违约金 1000 元-在非吸烟点吸烟的”，扣除贵部合同
违约金伍仟元（5000.00 元）。
请贵部引以为戒，对责任人进行处理并制定管控措施，避免类似问题重发。</t>
  </si>
  <si>
    <t>007-BT-L-GBNS-Q-NJTS-250028</t>
  </si>
  <si>
    <t>关于对中建二局天泵车料斗筛安全联锁装置失效问题处理的函</t>
  </si>
  <si>
    <t xml:space="preserve"> 5#核岛北侧</t>
  </si>
  <si>
    <t>2026 年 5 月 10 日，我部检查发现中建二局 5#核岛北侧浇筑作业使用的天泵
车（车牌：粤 B·QT267）进料斗筛网安全联锁装置损坏失效，料斗打开后搅拌
轴无法停止转动，存在机械伤害风险。该问题为重复发生，常态化管控有效性不
足。
根据《广西防城港核电厂 5、6 号机组核岛土建工程合同》（合同编号：
007-BT-B-2023-C82-P.C.10-00086）违约条款“安全防护用具、机械设备、施工
机具及配件在进入施工现场前未经查验或者查验不合格即投入使用”，决定处理
如下：
1、扣除中建二局合同违约金壹万元（10000.00 元）；
2、中建二局对自有泵送机械料斗安全装置开展全面排查并落实整改；
3、中建二局组织开展内部调查，明确原因及责任人，制定并落实整改措施，
提交调查报告。
请中建二局务必保证泵送机械安全装置完好性，全面做好整改反馈，杜绝同
类问题再次发生。</t>
  </si>
  <si>
    <t>007-BT-L-GBNS-Q-NJTS-250029</t>
  </si>
  <si>
    <t>关于中建二局集中充电点管理不到位处罚的函</t>
  </si>
  <si>
    <t>罚款人民币50000 元</t>
  </si>
  <si>
    <t>临建三区集中充电点</t>
  </si>
  <si>
    <t>保安队</t>
  </si>
  <si>
    <t>2026 年 4 月 29 日-30 日，项目部对各施工单位夜间集中充电情况开展检查，
检查发现贵司存在违规充电、非工作时间充电未落实巡视检查要求等问题。
在 4 月 30 日晚检查贵司临建三区集中充电点时，发现巡查记录表已填写至
“5 月 1 日 04:00”，存在提前填写巡查记录的情况，属于弄虚作假行为，违反
了安质环六大禁令。根据核岛土建合同第三章专用合同条款附件 10“承包人部
分违约行为的责任”中第三条规定：“违反工程公司安质环六大禁令的，根据主
观意愿、严重程度等将从工程款中扣除违约金 3~5 万”，对贵司处以罚款人民币
50000 元的处罚。
请贵司高度重视此类问题，切实加强现场管理。若后续再次发生同类违规行
为，将对贵司进行约谈，并加大处罚力度。</t>
  </si>
  <si>
    <t>007-BT-L-GBNS-Q-NJTS-250031</t>
  </si>
  <si>
    <t>关于对中建二局人员无证从事电焊作业处理的函</t>
  </si>
  <si>
    <t>无证作业</t>
  </si>
  <si>
    <t>合同违约金叁万元</t>
  </si>
  <si>
    <t>中建二局钢结构车间</t>
  </si>
  <si>
    <t>河南诚云建筑劳务有限公司</t>
  </si>
  <si>
    <t>2026 年 5 月 19 日，我部通过监控视频检查发现中建二局钢结构车间铆工覃
益荣擅自开展电焊作业，未持有焊接与热切割特种作业操作证，属于无证作业，
违反项目部安全管理要求。
针对上述问题，根据《广西防城港核电厂 5、6 号机组核岛土建工程合同》
（合同编号：007-BT-B-2023-C82-P.C.10-00086）违约条款：“操作人员未持证
上岗或从事的工作与其技能不符，扣除合同违约金 3～5 万”。决定处理如下：
1、扣除中建二局合同违约金叁万元（30000.00 元）；
2、对责任人覃益荣（C454657）清退出场处理。
请中建二局引以为戒，制定相关管控措施，并对违章处理信息组织宣贯反馈，
避免类似问题重发。</t>
  </si>
  <si>
    <t>007-BT-L-GBNS-Q-NJTS-250033</t>
  </si>
  <si>
    <t>关于对中建二局高风险作业管理不到位处理的函</t>
  </si>
  <si>
    <t>其他</t>
  </si>
  <si>
    <t>临建一区钢结构喷砂车间</t>
  </si>
  <si>
    <t>2026 年 6 月 24 日，我部检查中建二局临建一区钢结构喷砂车间伸缩架及设
备安装钢梁吊装 B 级高风险作业，发现存在 H 点未签点情况下即开展吊装作业，
属越点施工。现场安全员及管理人员对该作业已进行过程检查，未提出越点问题，
现场旁站监督也未及时制止越点行为。
针对上述问题，根据《广西防城港核电厂 5、6 号机组核岛土建工程合同》
（合同编号：007-BT-B-2023-C82-P.C.10-00086）违约条款：“不具备条件强行
施工，违反程序施工，扣除合同违约金 1～3 万”。决定处理如下：
1、扣除中建二局合同违约金壹万元（10000.00 元）；
2、对上述问题进行原因调查，分析失效点，并对相关责任人进行严肃处理；
请中建二局引以为戒，制定相关管控措施，避免类似问题重发。</t>
  </si>
  <si>
    <t>007-BT-L-GBNS-Q-NJTS-250034</t>
  </si>
  <si>
    <t>关于对中建二局有限空间作业严重违反安全管理规定处理的函</t>
  </si>
  <si>
    <t>有限空间作业</t>
  </si>
  <si>
    <t>合同违约金伍万元</t>
  </si>
  <si>
    <t>BGS管网顶管施工 2 号工作井内</t>
  </si>
  <si>
    <t>四川鑫传旺和建筑劳务有限公司</t>
  </si>
  <si>
    <t>杨元帅混凝土班</t>
  </si>
  <si>
    <t>2026 年 6 月 22 日，HSE分部检查发现中建二局BGS管网顶管施工 2 号工作井
内有限空间作业未按要求申报B级高风险作业信息，未办理有限空间作业许可证，
严重违反了程序制度要求。针对该工作井内作业管控，6 月 16 日HSE分部已对贵
司发出通报批评，明确要求严格落实有限空间管理制度，但是从本次检查情况看，
问题整改和现场执行存在严重偏差。
针对上述问题，我部根据《广西防城港核电厂 5、6 号机组核岛土建工程合
同》（合同编号：007-BT-B-2023-C82-P.C.10-00086）违约条款“管理人员违章
指挥、强令冒险作业，即刻风险不及时制止或拒绝整改，从工程款中扣除违约金
3~5 万”，决定处理如下：
1、扣除中建二局合同违约金伍万元（50000.00 元）；
2、对中建二局 BOP 队长王支泽（工号：C210573）发出黄牌通知单警示；
3、中建二局针对上述问题进行调查分析，提交调查报告。
请贵部引以为戒，全面做好整改反馈，杜绝同类问题再次发生。</t>
  </si>
  <si>
    <t>007-BT-L-GBNS-Q-NJTS-250035</t>
  </si>
  <si>
    <t>关于对中建二局流动吸烟问题处理的函</t>
  </si>
  <si>
    <t>违约金陆仟元</t>
  </si>
  <si>
    <t>BT-L-GBNS-Q-NJTS-250036</t>
  </si>
  <si>
    <t xml:space="preserve">关于对中建二局无票动火作业问题处理的函 </t>
  </si>
  <si>
    <t>BT-L-GBNS-Q-NJTS-250037</t>
  </si>
  <si>
    <t>关于对中建二局未落实应急指令处理的函</t>
  </si>
  <si>
    <t xml:space="preserve">BT-L-GBNS-Q-NJTS-250038 </t>
  </si>
  <si>
    <t xml:space="preserve">关于对中建二局流动吸烟问题处理的函 </t>
  </si>
  <si>
    <t>违约金叁万元</t>
  </si>
  <si>
    <t>编号</t>
  </si>
  <si>
    <t>类型</t>
  </si>
  <si>
    <t>BSPP260128001</t>
  </si>
  <si>
    <t>关于对中建二局危废处置管理不到位问题的通报批评</t>
  </si>
  <si>
    <t>2026-02-12</t>
  </si>
  <si>
    <t>已完成</t>
  </si>
  <si>
    <t xml:space="preserve">2026年1月26日，HSE分部检查发现中建二局危废库危废贮存时间超过一年，不满足管理要求，具体如下：
1、2025年1月16日入库的19个废石蜡空桶，至今未处置；
2、2025年1月20日入库的6个废机油桶，至今未处置。
依据《危险废物管理实施细则》PJ-40Q-016-R“3.3.4危废贮存时间不应超过1年，确实存在转移困难的，应及时报属地生态环境主管部门备案。”
</t>
  </si>
  <si>
    <t>BSPP260202001</t>
  </si>
  <si>
    <t>对中建二局临时入场人员管理不到位问题的通报批评</t>
  </si>
  <si>
    <t>2026-02-13</t>
  </si>
  <si>
    <t xml:space="preserve">近期，HSE分部检查发现中建二局临建区临时入场人员存在多起劳保防护用品穿戴不规范问题，管理存在明显不足。具体问题如下：
1、1月27日，5#核岛南侧高春芳班组违规搭载无证人员进入施工现场，且该人员未按要求穿劳保鞋。
2、1月27日，临建二区物资总库临时入场人员未穿劳保服。
3、1月28日，临建二区木工车间临时入场人员作业过程未佩戴安全帽。
</t>
  </si>
  <si>
    <t>BSPP260311002</t>
  </si>
  <si>
    <t>关于中建二局大风天气塔吊防碰撞测试作业的通报批评</t>
  </si>
  <si>
    <t>2026-03-31</t>
  </si>
  <si>
    <t xml:space="preserve">3月10日，HSE分部检查发现中建二局在项目部发布大风蓝色预警且现场风速较大情况下，违规组织塔吊开展群塔防碰撞测试，测试过程中吊钩摆动幅度较大，存在塔吊刮碰风险。
该问题暴露出中建二局大风天气作业风险识别不足，相关管理人员履职不到位。
</t>
  </si>
  <si>
    <t>BSPP260315001</t>
  </si>
  <si>
    <t>关于中建二局BSX厂房笩基钢筋施工安全问题的通报批评</t>
  </si>
  <si>
    <t>2026-04-10</t>
  </si>
  <si>
    <t xml:space="preserve">2026年3月11日，HSE分部检查发现中建二局BSX厂房钢筋支架缺少防倾覆措施、钢筋支架设置不满足方案要求等问题，具体如下：
一、钢筋支架缺少防倾覆措施
1、5BSB厂房钢筋支架安装就位后缺少防倾覆措施，且支架底部出现部分悬空现象。该支架高度4.8米、宽度0.8米，周边存在多名作业人员施工，支架倾倒挤压风险高。
2、该类型支架安装过程中，由塔吊水平引入后通过人工进行翻身竖立，安装过程人员挤压风险高，施工方式不合理。
3、该施工活动未明确钢筋支架引入安装及防倾覆措施相关要求，无法有效指导现场施工。
二、钢筋支架设置不满足方案要求
1、5BSA厂房钢筋支架之间最大间距为2.4米，不满足方案最大间距1.8米的要求；
2、钢筋支架未按方案要求设置下部水平拉杆，斜拉杆未按方案示意图连续设置。
依据：《5BSX筏基钢筋专项施工方案B版》“表6.2：基坑井字型钢筋支架清单表，支架间距最大1.8*1.8米”、“图6.12：拉杆示意图，施工中拉杆可分2次焊接，先焊接下部拉杆，待中间层钢筋绑扎完成后再焊接上部拉杆”。
</t>
  </si>
  <si>
    <t>BSPP260327001</t>
  </si>
  <si>
    <t>关于中建二局BRX区域钢筋施工安全问题的通报批评</t>
  </si>
  <si>
    <t>2026-04-15</t>
  </si>
  <si>
    <t xml:space="preserve">2026年3月25日，HSE分部检查发现中建二局BRX厂房钢筋支架未按方案要求进行沉降监测及绑扎固定、高处作业不规范等问题，具体如下：
一、钢筋支架未按方案要求进行沉降监测及绑扎固定
1、BRX钢筋支架布置完成后未按要求测量初始标高，且该区域上载荷后未进行沉降监测，不满足方案要求。
2、部分钢筋支架底部横杆与底层钢筋绑扎2道铁丝，不满足方案绑扎3道的要求，部分钢筋支架3道铁丝绑扎不均匀，不满足方案要求。
依据：《BRX筏基钢筋专项施工方案E版》“6.2.16选取轴线上支架进行监测（详附图12），每一轴线上不少于3个，且间距小于20m，在支架布置完成测量初始标高，支架上荷载后每星期监测一次，顶部钢筋绑扎完成后，每半个月监测一次，监测数据按附件7进行记录，直至FCD浇筑开始停止监测”，“5.5底层钢筋与支架横杆用扎丝或铁丝绑扎连接，每根横杆至少绑3处，均匀布置”。
二、高处作业不规范
BRX厂房270°-360°区域上层钢筋绑扎作业下方未建立控制区，存在上下交叉作业现象，部分人员调整钢筋使用的钢管及大锤等工具缺少防坠落措施，个别作业人员临边未系挂安全带，落差约2米，安全风险高。
</t>
  </si>
  <si>
    <t>BSPP260409001</t>
  </si>
  <si>
    <t>关于对中建二局高空作业车使用过程安全隐患的通报批评</t>
  </si>
  <si>
    <t>2026-04-23</t>
  </si>
  <si>
    <t xml:space="preserve">近期，HSE分部检查发现中建二局搅拌站粉料罐施工过程中存在使用高空作业车运输管道、人员违规翻越高空作业车等问题，具体如下：
一、使用高空作业车运输管道
搅拌站3号线仓泵管安装作业过程中，作业人员使用高空作业车运输管道，管道长约3米，超出高空作业车护栏，作业下方控制区拉设安全距离不足。
依据《举升式升降工作平台安全使用规程》GB/T39747-2021“11.1 举升平台不应用作升降机或提升机，将人员或物料从某一层运送到其他层”。
二、	人员违规翻越高空作业车
搅拌站2号线粉料罐支腿焊接作业过程中，一名作业人员从脚手架平台违规翻越到高空作业车操作平台，落差约1.8米，存在人员坠落风险。
依据《举升式升降工作平台安全使用规程》GB/T39747-2021“11.1 举升平台不应用作升降机或提升机，将人员或物料从某一层运送到其他层”。
</t>
  </si>
  <si>
    <t>BSPP260417001</t>
  </si>
  <si>
    <t>关于对中建二局群塔防碰撞管理不到位的通报批评</t>
  </si>
  <si>
    <t>2026-05-14</t>
  </si>
  <si>
    <t xml:space="preserve">4月16日，HSE分部检查发现中建二局塔吊防碰撞系统故障、流动式起重机未按要求安装防碰撞系统等问题，具体如下：
一、塔吊防碰撞系统故障
1、部分高塔起重臂与低塔平衡臂交叉场景时，防碰撞系统无预警、减速、刹车功能，5-3#与5-2#、5-2#与5-5#塔吊存在此问题。
2、部分塔吊起重臂与起重臂交叉场景时，防碰撞系统发出预警信息但未能自动停止。5-2#与5-1#、5-3#与5-5#塔吊存在此问题。
二、流动式起重机未按要求安装防碰撞系统
5号核岛北侧，汽车吊介入塔吊作业范围时，起重设备未安装塔吊防碰撞系统。项目部《关于推动防城港核电三期工程流动式起重机安装塔吊防碰撞系统的函》要求2025年10月31日前安装完成，但中建二局流动式起重机安装进度滞后严重，不满足项目部管理要求。
</t>
  </si>
  <si>
    <t>BSPP260502001-2</t>
  </si>
  <si>
    <t>关于施工单位集中充电点管理不到位的通报批评</t>
  </si>
  <si>
    <t>2026-06-10</t>
  </si>
  <si>
    <t xml:space="preserve">4月29日-30日，HSE分部对施工单位夜间集中充电情况开展检查，发现部分单位存在违规充电、非工作时间充电未落实巡视检查要求等问题，具体如下：
一、违规充电
中建二局临建三区核岛一队集装箱办公室（非集中充电点）违规进行对讲机充电，不满足项目部管理要求。
依据《关于加强集中充电安全管理的函》（007-BS-L-GBNS-Q-YYYY-250422 ）要求“各单位、部门应设置独立场所（如集装箱）作为集中充电点，与集中存放有档案、图纸等可燃物项的集装箱保持安全距离”。
二、非工作时间充电未落实巡视检查要求
1、安徽电建土建临建区机械化集中充电点以及深圳众大B栋集中充电点在非工作时间充电，夜间无人员进行巡视。
2、4月30日晚检查中建二局临建三区集中充电点，发现巡查记录表已填写至“5月1日04:00”，不满足要求。
依据《关于加强集中充电安全管理的函》（007-BS-L-GBNS-Q-YYYY-250422 ）要求“在非正常工作时间充电过程中，需安排人员定时巡检，至少每两小时巡检一次”
</t>
  </si>
  <si>
    <t>BSPP260514001</t>
  </si>
  <si>
    <t>关于对中建二局违规使用千斤顶安全隐患的通报批评</t>
  </si>
  <si>
    <t>2026-05-31</t>
  </si>
  <si>
    <t xml:space="preserve">5月12日，HSE分部检查发现中建二局钢结构车间龙门吊堆场存在工人违规使用千斤顶、操作人员未经内部授权等问题，具体如下：
一、现场违规使用千斤顶
钢结构车间龙门吊堆场钢衬里截锥体预制加工作业，工人使用的千斤顶与扶壁柱单点受力,底部悬空，千斤顶整体倾斜受力，存在千斤顶脱落造成挤压风险。经核查，该作业施工方案《5、6号机组钢衬里截锥体预制方案》未明确千斤顶架设、顶升等使用过程要求。
依据《作业安全管理标准》GP-30Q-001-R “3.6.5.3千斤顶使用过程中必须保持与物件接触面垂直， 并采取防滑措施”。
二、操作人员未经内部授权
钢结构车间龙门吊堆场千斤顶操作人员未经中建二局内部培训授权。经核实，中建二局未开展千斤顶专项培训授权，千斤顶操作人员均无授权。
依据《作业安全管理标准》GP-30Q-001-R“3.6.5.1使用千斤顶、 滑轮、 手拉（电动） 葫芦、 坦克轮等工具的作业人员， 必须取得作业单位内部授权后方可操作”。
</t>
  </si>
  <si>
    <t>BSPP260530001</t>
  </si>
  <si>
    <t>关于对中建二局二层钢筋面施工安全问题的通报批评</t>
  </si>
  <si>
    <t>2026-06-26</t>
  </si>
  <si>
    <t xml:space="preserve">近期，HSE分部检查发现中建二局5BNX厂房二层钢筋面施工作业存在平台不完善及通道缺少等问题，具体如下：
1、5月28日，夜间检查发现厂房西侧多名作业人员踩在未绑扎固定的钢筋上进行钢筋搬运作业，作业面落差1.7米，多名作业人员缺少防坠措施。且进出该区域钢筋作业面无作业平台及人员进出通道，存在人员踏空坠落风险。
2、5月29日，检查发现厂房二层钢筋绑扎作业面作业平台及护栏缺失，人员踩钢筋上进行施工，存在人员坠落风险。
该类似问题5月23日项目部高层巡视已提出要求全面排查整改，截至目前整改效果不佳，暴露出中建二局对该问题重视程度不足，管理存在缺失。
</t>
  </si>
  <si>
    <t>BSPP260611001</t>
  </si>
  <si>
    <t>关于对中建二局午间作业安全管理人员履职失效问题的通报批评</t>
  </si>
  <si>
    <t>2026-06-29</t>
  </si>
  <si>
    <t>整改中</t>
  </si>
  <si>
    <t xml:space="preserve">6月9日，项目部检查5#核岛区域午间作业，发现中建二局存在安全管理人员午间作业未按排班在岗值守、午间值班履职管控失效。具体如下：
一、安全管理人员午间作业未按排班在岗值守
6月9日中午，中建二局现场存在BSX、BFX、BNX厂房钢筋绑扎施工，作业人数约120人。当日午间5号核岛安全员排班4人，3人（罗荣鑫、宁以源、冯海浪）未按要求对午间作业进行现场监督检查，情况如下。
（1）罗荣鑫，13：10进入5号核岛进行监督检查，13：40前往搅拌站进行监督检查。
（2）宁以源，午间作业监督检查12：40结束。
（3）冯海浪，午间作业时段均未在5号核岛施工现场。
二、安全管理人员午间值班履职管控失效
针对安全员履职打卡要求，中建二局内部要求安全员在群上进行午间值班打卡，但未对履职打卡情况进行监督，未能及时发现并督改履职问题。
</t>
  </si>
  <si>
    <t>BSPP260616001-2</t>
  </si>
  <si>
    <t>关于中建二局、安徽电建垂直运输类自制机具管控不到位的通报批评</t>
  </si>
  <si>
    <t>2026-06-30</t>
  </si>
  <si>
    <t>2026年6月9日至11日，HSE分部检查中建二局、安徽电建垂直运输类自制机具管理，发现存在未按设计文件进行制作、日常管理不规范、工机具系统管理系统维护混乱等问题，具体如下：
一、未按设计文件进行制作
1）中建二局自制料斗（自编码HDYD010）未按设计加工单进行制作，无法对实际料斗受力情况进行验证。如：设计中角钢规格为75*50*8mm，实际角钢尺寸为63*63*5mm；设计中角钢长边为1500mm，实际加工长度为2460mm。
2）中建二局临建二区部分料斗吊耳设置位置与设计图纸不一致。
3）安徽电建工具箱侧面钢板与框架槽钢之间每隔200mm焊接50mm，不满足说明书“每隔100mm焊接50mm”要求，焊接标准低于设计说明书要求。
4）安徽电建部分工具箱吊耳开孔尺寸与设计不符，个别吊耳开孔直径达50mm，大于设计文件中开孔直径40mm要求。
二、料斗日常管理不规范
1）中建二局、安徽电建现场存在多处料斗吊耳严重变形，料斗吊耳可靠性不足，存在安全隐患。
2）中建二局临建区在用与停用料斗无明显区分，不合格料斗未张贴“禁止使用”相关标识，易导致现场误用情况发生。
三、工机具系统管理系统维护混乱
 1）中建二局、安徽电建现场存在较多工具箱、气瓶笼、救生笼、配重板等带吊耳的自制工器具未识别为垂直运输类自制机具。如：中建二局带吊耳自制工具箱登记信息为“吊链”；安徽电建多个料斗识别为“其他类自制机具”。
 2）中建二局、安徽电建现场多个垂直运输类自制机具已现场使用，但设备状态时仍显示“在库”、“入场审批中”。
 3）安徽电建多个垂直运输类自制机具缺少“载荷试验报告”，“设计验算文件”、与“验收表”上传位置有误；部分垂直运输类自制机具未上传文件信息。</t>
  </si>
  <si>
    <t>BSPP260618002</t>
  </si>
  <si>
    <t>关于中建二局危废管理不到位的通报批评</t>
  </si>
  <si>
    <t xml:space="preserve">2026年6月17日，HSE分部检查发现中建二局危废管理存在危废堆存不规范、不相容废物混存等问题，不满足项目部管理要求。具体问题如下：
一、危废堆存不规范
危废堆存不稳，存在掉落风险，且堆放范围超出防渗托盘，渗漏废液无法有效收集，存在环境污染风险。
二、不相容废物混存
废油漆、废固化剂与废矿物油等不相容废物混存，不满足规范要求。
依据《中华人民共和国固体废物污染环境防治法》第八十一条“禁止混合收集、贮存、运输、处置性质不相容而未经安全性处置的危险废物”。
</t>
  </si>
  <si>
    <t>BSPP260618001</t>
  </si>
  <si>
    <t>关于中建二局BGS管网顶管施工工作井管理不到位的通报批评</t>
  </si>
  <si>
    <t xml:space="preserve">2026年6月16日，HSE分部检查发现中建二局BGS管网顶管施工2号工作井存在未按受限空间管理、基坑未设置排水泵等问题，不满足项目部管理要求。具体问题如下：
一、受限空间管理不到位
BGS管网顶管施工2号工作井已完成施工，井深约7米，现场未按受限空间进行管控，未在受限空间外设置安全危害告知牌，未落实受限空间通风、测氧、人员进出登记等措施，不满足《受限空间控制程序》要求。
依据《受限空间控制程序》（PJ-30Q-206-R）“典型受限空间包括但不限于：地下管道、电缆隧道、电缆沟/井、涵洞、基坑/井、废水池/井、烟道、化学品罐、锅炉、船舱、沉箱、中大型换热设备如凝汽器、除氧器等”。
二、防汛管理缺失
BGS管网顶管施工2号工作井内部未设置应急排水泵，井内积水深约30cm，积水未及时抽排，存在安全风险。
</t>
  </si>
  <si>
    <t>BSPP260624002</t>
  </si>
  <si>
    <t>关于中建二局高风险作业管理不到位的通报批评</t>
  </si>
  <si>
    <t>2026-07-14</t>
  </si>
  <si>
    <t>2026年6月24日，HSE分部检查中建二局临建一区钢结构喷砂车间伸缩架及设备安装钢梁吊装B级高风险作业，发现存在H点未签点情况下即开展吊装作业，属越点施工。现场安全员及管理人员对该作业已进行过程检查，未提出越点问题，现场旁站监督也未及时制止越点行为。</t>
  </si>
  <si>
    <t>BSPP260624001</t>
  </si>
  <si>
    <t>关于对中建二局探伤作业视频记录不规范问题的通报批评</t>
  </si>
  <si>
    <t>2026-07-03</t>
  </si>
  <si>
    <t>射线探伤作业</t>
  </si>
  <si>
    <t xml:space="preserve">2026年6月22日，HSE分部检查发现中建二局夜间探伤作业视频仅记录了当晚单次曝光的完整录像，其余曝光过程无影像记录。项目部已于6月16日明确管理要求，“探伤作业须对每次曝光过程进行记录”，中建二局未严格落实。
依据《辐射防护管理规定》（PJ-30Q-304-R）“3.7.8移动式探伤每台射线装置至少配备一台视频记录设备对射线探伤作业关键步骤（布片、γ源机连接摇盘和输源管、送源、收源、X光机开关机、验证放射源收回源机等）进行记录。”
</t>
  </si>
  <si>
    <t>BSPP260626002</t>
  </si>
  <si>
    <t>关于中建二局5号核岛区域BGS管网施工孔洞防护问题的通报批评</t>
  </si>
  <si>
    <t>2026年6月25日，我部CCF工程师现场巡检发现5号核岛周边BGS管网施工区域内检查井井口防护盖板存在多项安全隐患，防护措施不规范、不到位，不符合现场安全施工管理标准，存在人员坠落安全风险，同时孔洞防护与标准化图集要求偏差较大。具体问题如下：
1. 临时封堵材质不达标、防护失效：现场部分检查井采用木模板进行临时封口封堵，木模板材质承载力不足，无法承受人员、物料踩踏荷载，不符合洞口防护硬性标准；且所有木模板封堵井口均未设置可靠限位固定措施，易发生移位、脱落，防护完全失效。
2. 钢制盖板安装不规范、标识缺失：现场投入使用的钢制防护盖板尺寸与检查井井口不匹配，存在盖板偏大、偏小等规格不符问题；存在方形盖板覆盖圆形井口的违规施工情况，所有防护盖板均未落实限位固定措施，盖板可随意挪动；同时井口盖板未设置孔洞责任信息牌、安全警示标识，现场警示提醒、责任追溯机制缺失。
3. 安全围护不到位、风险管控缺失：个别检查井井口仅简易覆盖或无有效盖板防护，且未按规范设置防护栏杆、安全警戒线、警示围挡等防护设施，无任何安全防护兜底措施，极易发生人员失足坠落事故，严重威胁现场施工人员人身安全。
    以上问题，违反了项目部《孔洞及围护管理程序》及《核电工程安全标准化及国际标杆实施图集》中C-3临边、洞口安全防护的管理要求，现场孔洞防护管控流于形式。</t>
  </si>
  <si>
    <t>BSPP260630001</t>
  </si>
  <si>
    <t>关于对中建二局集中供气安全管理不到位问题的通报批评</t>
  </si>
  <si>
    <t>2026-07-16</t>
  </si>
  <si>
    <t>危化品管理</t>
  </si>
  <si>
    <t xml:space="preserve">2026年6月29日，HSE分部检查发现中建二局钢结构车间南侧集中供气设备及场所存在以下问题：
1、危险源管控不到位：液氧贮罐存放区与氧气气瓶储存点设置在同一区域，人员取用氧气气瓶需频繁进出液氧贮罐存放区，未落实区域分区管理及封闭管理，危险源不可控。
2、安全阀失效：液氧贮罐最高允许压力为2.65MPa，出气端安全阀试验压力为3.8MPa，远超液氧贮罐最高允许压力，安全阀失效。
3、管道试压记录存疑：氧气管道最高承受压力为1.76MPa，该管道试压压力为0.2MPa，实际管道压力表已显示为0.7MPa；管道规格为DN25，与《集中供气施工方案》DN32/20要求不一致；管道试压记录仅有“使用单位负责人”签字。
4、罐体结构存在安全问题：部分液氧输气管法兰连接处未做静电跨接；部分输气管固定螺丝缺失；人员进出通道处管路未做防冻伤保护，存在人员触碰冻伤风险。
</t>
  </si>
  <si>
    <t>BSPP260704001</t>
  </si>
  <si>
    <t>关于中建二局模块化拼装场地施工安全问题的通报批评</t>
  </si>
  <si>
    <t>2026-07-17</t>
  </si>
  <si>
    <t xml:space="preserve">2026年7月1日，HSE分部检查发现中建二局模块化拼装场地钢衬里施工存在施工方案偏差及安全隐患问题，具体如下：
一、钢衬里施工方案偏差
1、截椎体B段外走道板挂架使用竖向螺栓与钢片进行连接加固，与《5、6号机组钢衬里走道板、纵缝焊接平台、楼梯、牛腿平台等施工方案》7.2.2节图示横向螺栓固定方式不符。
2、截椎体B段外走道板挂架挂点与横梁之间间距为80mm，与加工单100mm要求误差较大，不满足《广西防城港核电厂5、6号机组核岛土建工程现场加工单》“工件下料尺寸±3mm”的要求。
3、《5、6号机组钢衬里走道板、纵缝焊接平台、楼梯、牛腿平台等施工方案》缺少截椎体扶壁柱计算说明，现场扶壁柱已安装投入使用。
二、钢衬里施工安全隐患
1、扶壁柱与钢衬里连接梁多处螺栓松动未紧固，多处螺栓紧固后未露丝扣。
2、二层外走道板多处孔洞未满铺，宽约20-30CM。
</t>
  </si>
  <si>
    <t>BSPP260713001</t>
  </si>
  <si>
    <t>关于中建二局临建一区临时用电安全管理不到位的通报批评</t>
  </si>
  <si>
    <t>整改单发出人</t>
  </si>
  <si>
    <t>农敢</t>
  </si>
  <si>
    <t>HSF-2025-03</t>
  </si>
  <si>
    <t>1关于中建二局高风险作业管理不到位的整改通知单</t>
  </si>
  <si>
    <t>吴运华装修班</t>
  </si>
  <si>
    <t>HSF-2025-012</t>
  </si>
  <si>
    <t>2关于中建二局工器具管理不到位的整改通知单</t>
  </si>
  <si>
    <t>机修车间</t>
  </si>
  <si>
    <t>渠涛</t>
  </si>
  <si>
    <t>HSF-2025-016</t>
  </si>
  <si>
    <t>3关于中建二局搅拌站沉淀池污水管理不到位的整改通知单</t>
  </si>
  <si>
    <t>陈爱荣综合班</t>
  </si>
  <si>
    <t>HSF-2025-036</t>
  </si>
  <si>
    <t>4关于中建二局搅拌站、中水九局砂石厂建筑垃圾管理不到位的整改通知单</t>
  </si>
  <si>
    <t>HSE</t>
  </si>
  <si>
    <t>HSF-2025-038</t>
  </si>
  <si>
    <t>5关于中建二局灭火器管理不到位的整改通知单</t>
  </si>
  <si>
    <t>吴坤鹏</t>
  </si>
  <si>
    <t>临建一区、二区、三区、搅拌站</t>
  </si>
  <si>
    <t>HSF-2025-047</t>
  </si>
  <si>
    <t>6关于中建二局手拉葫芦管理不到位的整改通知单</t>
  </si>
  <si>
    <t>机械队车间</t>
  </si>
  <si>
    <t>李巨辉</t>
  </si>
  <si>
    <t>BT-TB-HSF-2025-001</t>
  </si>
  <si>
    <t>7关于中建二局钢结构安装危大工程验收不规范的通报批评</t>
  </si>
  <si>
    <t>物资总库、木工车间、机械车间</t>
  </si>
  <si>
    <t>有回复材料</t>
  </si>
  <si>
    <t>BT-TB-HSF-2025-005</t>
  </si>
  <si>
    <t>8关于中建二局受限空间作业管理不到位的通报批评</t>
  </si>
  <si>
    <t>临建一区</t>
  </si>
  <si>
    <t>BT-TB-HSF-2025-010</t>
  </si>
  <si>
    <t>9关于中建二局环境管理问题长期未有效整改的通报批评</t>
  </si>
  <si>
    <t>高武</t>
  </si>
  <si>
    <t>BT-TB-HSF-2025-012</t>
  </si>
  <si>
    <t>10关于中建二局防火布不满足合同要求的通报批评</t>
  </si>
  <si>
    <t>BT-TB-HSF-2025-014</t>
  </si>
  <si>
    <t>11关于中建二局钢筋加工场用电不满足要求的通报批评</t>
  </si>
  <si>
    <t>韦伴锋</t>
  </si>
  <si>
    <t>钢筋车间</t>
  </si>
  <si>
    <t>BT-TB-HSF-2025-019</t>
  </si>
  <si>
    <t>12关于中建二局 5-2#塔吊基础施工高处作业安全隐患的通报批评</t>
  </si>
  <si>
    <t>模块化场地</t>
  </si>
  <si>
    <t>廖胜利钢筋班</t>
  </si>
  <si>
    <t>BT-TB-HSF-2025-021</t>
  </si>
  <si>
    <t>13关于中建二局场内违规修理特种设备的通报批评</t>
  </si>
  <si>
    <t>临建二区</t>
  </si>
  <si>
    <t>违规作业</t>
  </si>
  <si>
    <t>BT-TB-HSF-2025-023</t>
  </si>
  <si>
    <t>14关于中建二局环境管理措施落实不到位的通报批评</t>
  </si>
  <si>
    <t>搅拌站、物资部</t>
  </si>
  <si>
    <t>魏智广、王晓光</t>
  </si>
  <si>
    <t>搅拌站、危废库</t>
  </si>
  <si>
    <t>环境管理</t>
  </si>
  <si>
    <t>郑兴嘉</t>
  </si>
  <si>
    <t>CCF-2025-014</t>
  </si>
  <si>
    <t>15关于中建二局 7BGZ廊道 7X-3 段支撑架验收力矩不满足方案要求的整改通知单</t>
  </si>
  <si>
    <t>脚手架</t>
  </si>
  <si>
    <t>BT-TB-HSF-2025-026</t>
  </si>
  <si>
    <t>16关于中建二局消防重点部位管理不到位的通报批评</t>
  </si>
  <si>
    <t>金属实验室、钢结构队、综合管理部、安监部</t>
  </si>
  <si>
    <t>陶晓勇、程荣新、李波、赵强强</t>
  </si>
  <si>
    <t>临建一区、搅拌站</t>
  </si>
  <si>
    <t>消防安全</t>
  </si>
  <si>
    <t>BT-TB-HSF-2025-027</t>
  </si>
  <si>
    <t>17关于中建二局基坑通道不按方案施工的通报批评</t>
  </si>
  <si>
    <t>不按方案施工</t>
  </si>
  <si>
    <t>BT-TB-HSF-2025-028</t>
  </si>
  <si>
    <t>18关于中建二局BGZ廊道支撑架不按方案施工的通报批评</t>
  </si>
  <si>
    <t>不安方案施工</t>
  </si>
  <si>
    <t>BT-TB-HSF-2025-033</t>
  </si>
  <si>
    <t>19关于对中建二局钢衬里模块作业安全问题的通报批评</t>
  </si>
  <si>
    <t>BT-TB-HSF-2025-035</t>
  </si>
  <si>
    <t>20关于中建二局搅拌站环境管理措施落实不到位的通报批评</t>
  </si>
  <si>
    <t>BT-TB-HSF-2025-040</t>
  </si>
  <si>
    <t>21关于对中建二局脚手架作业平台管理不到位的通报批评</t>
  </si>
  <si>
    <t>否</t>
  </si>
  <si>
    <t>陆秋桂</t>
  </si>
  <si>
    <t>HSF-2025-067</t>
  </si>
  <si>
    <t>22  2025.08.26关于中建二局原办公区室外配电箱不符合规范要求的整改通知HSF-2025-067</t>
  </si>
  <si>
    <t>HSF-2025-068</t>
  </si>
  <si>
    <t>23  2025.08.27关于中建二局汽车吊与5-11#塔吊存在刮碰风险的整改通知单HSF-2025-068</t>
  </si>
  <si>
    <t>HSF-2025-074</t>
  </si>
  <si>
    <t>24  2025.09.20关于中建二局混凝土泵送设备安全隐患的整改通知单HSF-2025-074</t>
  </si>
  <si>
    <t>HSF-2025-082</t>
  </si>
  <si>
    <t>25  2025.10.23关于中建二局BGZ廊道盘扣式脚手架竖向斜杆设置缺失的整改通知单HSF-2025-082</t>
  </si>
  <si>
    <t>HSF-2025-091</t>
  </si>
  <si>
    <t>26  2025.11.13关于中建二局环廊锚筋施工安全问题的整改通知单HSF-2025-091</t>
  </si>
  <si>
    <t>HSF-2025-093</t>
  </si>
  <si>
    <t>27  2025.11.20关于中建二局搅拌站支模作业未按方案施工问题的整改通知单HSF-2025-093</t>
  </si>
  <si>
    <t>HSF-2025-096</t>
  </si>
  <si>
    <t>28  2025.12.09关于中建二局钢筋笼制作安全问题的整改通知单HSF-2025-096</t>
  </si>
  <si>
    <t>BT-TB-HSF-2025-044</t>
  </si>
  <si>
    <t>29 2025.12.17关于中建二局环廊施工及作业平台问题的通报批评BT-TB-HSF-2025-044</t>
  </si>
  <si>
    <t>HSF-2025-098</t>
  </si>
  <si>
    <t>30 2025.12.18关于中建二局射线探伤作业值守人员睡岗及EPD规范使用的整改通知单HSF-2025-098</t>
  </si>
  <si>
    <t>金属实验室</t>
  </si>
  <si>
    <t>陶晓勇</t>
  </si>
  <si>
    <t>BT-TB-HSF-2025-046</t>
  </si>
  <si>
    <t>31 2025.12.18关于对中建二局高处临边作业安全问题的通报批评BT-TB-HSF-2025-046</t>
  </si>
  <si>
    <t>HSF-2025-099</t>
  </si>
  <si>
    <t>32 2025.12.24关于对中建二局模板体系安全问题的整改通知单HSF-2025-099</t>
  </si>
  <si>
    <t>33 2025.12.24关于中建二局堆场非承重盖板管理不到位的整改通知单HSF-2025-098</t>
  </si>
  <si>
    <t>BT-TB-HSF-2025-048</t>
  </si>
  <si>
    <t>34  2025.12.29关于中建二局危险化学品管理不到位的通报批评BT-TB-HSF-2025-048</t>
  </si>
  <si>
    <t>临建区机械队车间</t>
  </si>
  <si>
    <t>黄建岸</t>
  </si>
  <si>
    <t>BSZG260109001</t>
  </si>
  <si>
    <t>关于中建二局汽车吊起重吊装作业交叉施工的整改通知单</t>
  </si>
  <si>
    <t>2026-01-23</t>
  </si>
  <si>
    <t>核岛一队/机械队</t>
  </si>
  <si>
    <t>已关闭</t>
  </si>
  <si>
    <t xml:space="preserve">近期，HSE分部检查发现中建二局5号核岛区域吊装作业多次出现控制区建立不完善、作业交叉情况。具体如下：
1、1月6日，核岛环廊270°东侧吊装作业，模板吊装施工未及时疏散环廊无关作业人员，作业交叉，存在起重伤害风险。
2、1月7日，5-3塔吊区域北侧吊装作业，料斗吊装施工警戒区建立不完善，吊装范围正下方存在无关人员交叉作业，存在起重伤害风险。
</t>
  </si>
  <si>
    <t>BSZG260127002</t>
  </si>
  <si>
    <t>关于对中建二局设备维修作业配电箱未挂牌上锁问题处理</t>
  </si>
  <si>
    <t xml:space="preserve">2026年1月20日，HSE分部检查中建二局木工车间带锯机更换皮带维修作业发现配电箱未挂牌上锁，存在误操作设备转动导致机械伤害风险。
</t>
  </si>
  <si>
    <t>BSZG260226001</t>
  </si>
  <si>
    <t>关于对中建二局孔洞安全管理不到位问题的整改通知单</t>
  </si>
  <si>
    <t>2026-03-12</t>
  </si>
  <si>
    <t>孔洞临边防护</t>
  </si>
  <si>
    <t>2026年2月25日，HSE分部检查中建二局BGZ廊道发现多处孔洞盖板缺少防位移措施，个别未使用钢制钢板，也未张贴孔洞信息牌，落差约1.9米，存在人员踏空坠落隐患。</t>
  </si>
  <si>
    <t>BSZG260225002</t>
  </si>
  <si>
    <t>关于对中建二局作业通道安全问题的通报批评</t>
  </si>
  <si>
    <t>2026-03-18</t>
  </si>
  <si>
    <t>安全通道</t>
  </si>
  <si>
    <t>2026年2月25日，HSE分部检查发现中建二局深基坑上下通道数量设置不足、钢筋墙施工缺少进出通道等问题，具体如下：
一、钢筋墙施工缺少进出通道
5BRX预应力廊道施工区域墙体钢筋缺少进出通道，人员需翻越无防护措施的竖筋进入工作面，且个别钢管扣件未固定，存在较大人员绊倒风险。该问题近期多次提出，未得到有效整改。
二、深基坑上下通道数量设置不足
96区BGS管网深基坑已开始底部支模作业，目前只设置了1处上下安全通道，不满足规范不低于2处安全通道的要求。
依据《建筑深基坑工程施工安全技术规范》JGJ 311-2013“11.2.6基坑内应设置作业人员上下坡道或爬梯，数量不应少于2个。作业位置的安全通道应畅通”。</t>
  </si>
  <si>
    <t>杨植贵</t>
  </si>
  <si>
    <t>BSZG260225001</t>
  </si>
  <si>
    <t>关于中建二局回填料堆存区交通安全管理不到位的整改通知单</t>
  </si>
  <si>
    <t>2026-03-10</t>
  </si>
  <si>
    <t>交通运输</t>
  </si>
  <si>
    <t>2026年2月24日，HSE分部检查发现中建二局回填料堆存区内，倒车指挥位于施工车辆来往区域进行指挥存在交通安全风险且未配置通讯工具。不满足《核电工程道路交通安全管理18条硬举措》（第二版）“第16条：现场指挥应有通讯工具与车辆驾驶员保持实时通讯；现场指挥必须穿戴反光背心，必须使用有安全警示灯的交通指挥棒进行指挥，站位处应设置实体防护或采取措施保持安全距离”的交通安全管理要求。</t>
  </si>
  <si>
    <t>BSZG260228001</t>
  </si>
  <si>
    <t>关于对中建二局道路交通安全隐患的整改通知单</t>
  </si>
  <si>
    <t>2026-03-14</t>
  </si>
  <si>
    <t>2026年2月28日，HSE分部检查发现中建二局2处道路存在交通安全隐患，具体如下：
1、中建二局临建三区集装箱东侧大门出入口，人车分流措施不完善，未规划斑马线，人员在机动车道上穿行，不满足交通硬举措的要求。
2、5号核岛3#车道因规划人车分流暂用部分道路，导致不具备机动车双向通行条件，现场缺少安全管控措施，存在交通安全隐患。</t>
  </si>
  <si>
    <t>BSZG260306001</t>
  </si>
  <si>
    <t>关于中建二局BGZ廊道安全问题的整改通知单</t>
  </si>
  <si>
    <t>2026-03-20</t>
  </si>
  <si>
    <t>2026年3月5日HSE分部检查中建二局7BGZ廊道区域发现如下问题：
1、W5段支撑架未悬挂危大工程告知牌，类似问题已多次出现，未得到有效整改；
2、李涛木工班在廊道内开展清理作业未按要求配备执法记录仪，不满足无监控补作业的要求；
3、W3段只设置了照明灯带，未设置应急照明，且多个照明灯分线盒绝缘盖板缺失；
4、W3段、4段脚手架及爬梯通道未悬挂信息牌，不满足安全管理要求；
5、廊道内多具灭火器未按期月检。
上述问题体现出中建二局在BGZ安全管理方面存在不足，请中建二局加强BGZ廊道施工区域安全管理。</t>
  </si>
  <si>
    <t>BSZG260311002</t>
  </si>
  <si>
    <t>关于中建二局配重块未按加工单施工的整改通知单</t>
  </si>
  <si>
    <t>2026-03-25</t>
  </si>
  <si>
    <t xml:space="preserve">3月10日，HSE分部检查模块化拼装场地配重块发现如下问题：1、吊耳未按加工单要求涂刷防腐漆，多处吊耳存在锈蚀现象；2、多处吊耳凹槽排水管堵塞导致积水无法排出，加速吊耳锈蚀；3、上述存在问题的配重块已经过验收合格，验收不到位。
</t>
  </si>
  <si>
    <t>BSZG260306002</t>
  </si>
  <si>
    <t>关于中建二局危废收集不规范问题的整改通知单</t>
  </si>
  <si>
    <t>2026-03-21</t>
  </si>
  <si>
    <t>综合车间/核岛一队</t>
  </si>
  <si>
    <t>3月5日，HSE分部检查发现中建二局存在危废与一般固废混放、危废随意丢弃等问题，具体如下：
一、危废与一般固废混放
临建二区木工车间塑料类垃圾料斗内有残留废机油的机油桶，搅拌站其他垃圾收集料斗内有废荧光灯管，不满足危废收集要求。
依据《危险废物管理实施细则》（PJ-40Q-016-R）“3.3.2所有危废必须分类收集、贮存，禁止将不同种类的危废在同一容器中混装或堆放在一起，严禁将其他垃圾混入危废中。” 
二、危废随意丢弃
使用后的油溶性聚氨酯注浆料空桶未按危废管理要求收集至危废库，随意丢弃在原弃土场固废收集点，不满足危废管理要求。
依据《危险废物管理实施细则》（PJ-40Q-016-R）“3.1项目所有危废不得露天堆放， 应存放至指定危废贮存点或项目危废库内。”</t>
  </si>
  <si>
    <t>BSZG260303002</t>
  </si>
  <si>
    <t>关于中建二局危大工程告知牌公示不到位的整改通知单</t>
  </si>
  <si>
    <t>2026-03-17</t>
  </si>
  <si>
    <t>2026年3月2日，HSE分部现场检查发现如下问题：1、核岛北侧悬挑架搭设未按要求悬挂危大工程告知牌；2、5-2#、5-3#、5-8#塔吊目前已投入使用，未及时张贴危大工程验收信息牌及塔吊使用登记信息牌。</t>
  </si>
  <si>
    <t>于光涛</t>
  </si>
  <si>
    <t>BSZG260314001</t>
  </si>
  <si>
    <t>关于中建二局施工现场随意占地堆放材料和停放机具的整改通知单</t>
  </si>
  <si>
    <t>物项存放</t>
  </si>
  <si>
    <t>1、随意占据位于廊道BGZ-7U段东测（1号安全通道口西侧）施工区域用作材料周转堆场；
2、施工区域内随意占地停机；
3、Y96-46号北侧私自围设堆放场地；
该区域的占地行为违反了《防城港三期项目核电厂施工总平面管理规定》的 3.3.2施工用地管理的相关要求；未办理用地申请手续，及施工管理未落实标准化相关要求。</t>
  </si>
  <si>
    <t>BSZG260317002</t>
  </si>
  <si>
    <t>关于中建二局钢筋调整作业安全问题的整改通知单</t>
  </si>
  <si>
    <t>3月16日HSE分部检查中建二局核岛区域钢筋绑扎作业发现如下问题：
1、BSA厂房，手拉葫芦设置在钢管端部，计划通过葫芦调整钢筋高度放置垫块，该方式手拉葫芦挂钩未闭合，壳体异常受力，支架易倾斜，存在机械伤害风险。
2、BRX厂房，使用钢管支架抬高钢筋，受力过大导致钢管已出现弯曲现象，不满足安全管理要求。</t>
  </si>
  <si>
    <t>江忠桦</t>
  </si>
  <si>
    <t>BSZG260325005</t>
  </si>
  <si>
    <t>关于搅拌站三级沉淀池出现浮渣、塑料袋等垃圾的整改通知单</t>
  </si>
  <si>
    <t>3月24日，HSF分部检查搅拌站，发现三级沉淀池有明显浮渣且出现塑料袋、废纸等垃圾，不符合环保标准指标，不满足规范要求</t>
  </si>
  <si>
    <t>BSZG260325007</t>
  </si>
  <si>
    <t>关于中建二局违规外运建筑垃圾的整改通知单</t>
  </si>
  <si>
    <t>2026-04-05</t>
  </si>
  <si>
    <t xml:space="preserve">3月25日，HSF分部检查发现中建二局临建三区废试块（建筑垃圾）违规外运，未按环保要求将建筑垃圾进行统一收集处理，不满足现场管控要求。
</t>
  </si>
  <si>
    <t>BSZG260325003</t>
  </si>
  <si>
    <t>关于中建二局钢筋挂凳使用安全隐患的整改通知单</t>
  </si>
  <si>
    <t>2026-04-22</t>
  </si>
  <si>
    <t>3月24日检查中建二局5BNX厂房地坑钢筋绑扎作业发现，现场使用钢管作为挂凳的挂点，单根钢管承受4个人重量，缺少受力计算，方案缺少该做法相关内容，经核实为班组人员自行设置，存在钢管绑扎不牢固人员坠落隐患。</t>
  </si>
  <si>
    <t>BSZG260326003</t>
  </si>
  <si>
    <t>关于中建二局380V电源线埋深不满足要求的整改通知单</t>
  </si>
  <si>
    <t>2026-04-30</t>
  </si>
  <si>
    <t>近期，我部检查发现中建二局临建区临时用电存在以下问题：
1、搅拌站班组集装箱电源线过路直埋埋深约10cm，不满足《核电工程动土作业安全管理10条硬举措》要求；
2、临建二区物资总库北侧3条380V电源线直埋铺设，且深度约10cm，不满足《核电工程动土作业安全管理10条硬举措》要求。</t>
  </si>
  <si>
    <t>BSZG260331004</t>
  </si>
  <si>
    <t>关于中建二局380V电缆未按要求入沟入槽敷设的整改通知单</t>
  </si>
  <si>
    <t>2026-04-19</t>
  </si>
  <si>
    <t>2026年3月30日，现场检查发现中建二局多处电缆敷设不满足动土作业硬举措的要求，具体如下：1、临建三区一处电缆沟改成人行通道导致电缆局部违规埋地敷设，缺少警示标识；2、BGZ廊道一处电缆未按要求入沟入槽敷设；3、搅拌站区域一处电缆违规埋地敷设，缺少警示标识。</t>
  </si>
  <si>
    <t>谭子阳</t>
  </si>
  <si>
    <t>BSZG260402001</t>
  </si>
  <si>
    <t>关于中建二局近期安排无授权人员作业的整改通知单</t>
  </si>
  <si>
    <t>2026-04-14</t>
  </si>
  <si>
    <t>近期，HSE分部检查发现中建二局作业授权存在以下问题：
1、中建二局3名新入场司索作业人员以及2名手拉葫芦作业人员未按项目部要求于智慧工地备案后再开展现场相关授权作业。
2、中建二局作业授权名录未包括临建区车间机械设备使用授权，授权名录不完善。
依据：《作业安全管理标准》第3.6.1条：“起重作业人员（司机、指挥）持有国家相关部门颁发的特种作业操作证书（建筑起重信号司索工、建筑起重机械司机、特种设备作业人员证），起重司机、指挥、司索工需经作业单位内部培训考试合格并向工程公司项目部备案后，方可授权从事相关作业活动。”</t>
  </si>
  <si>
    <t>BSZG260405002</t>
  </si>
  <si>
    <t>关于中建二局喷砂机地坑有限空间作业管理不到位的整改通知单</t>
  </si>
  <si>
    <t>2030-04-14</t>
  </si>
  <si>
    <t>钢结构队/机械队</t>
  </si>
  <si>
    <t xml:space="preserve"> 4月3日检查钢结构车间喷砂地坑有限空间作业存在以下问题:
1、地坑内3名作业人员均不清楚氧气瓶如何使用，配备的鼻吸气管不匹配，氧气瓶为一次性用品，其中有1瓶已开封。
2、现场作业点照明不足，使用手电进行照明。
3、作业点使用单一氧气检测仪器，未按项目部要求配备4合1气体检测仪。</t>
  </si>
  <si>
    <t>BSZG260405001</t>
  </si>
  <si>
    <t>关于中建二局搅拌站使用移动升降平台运输材料的整改通知单</t>
  </si>
  <si>
    <t>4月3日，中建二局搅拌站仓泵管安装作业，陈爱荣班将仓泵管放置在移动升降平台的护栏上进行高空运输，存在倾覆风险，不满足规范要求。
根据《举升式移动式升降工作平台安全使用规程》GB/T 39747-2021第11.1条“举升平台不应作升降机或提升机。将人员或物料从某一层运送到其他层”。</t>
  </si>
  <si>
    <t>BSZG260409002</t>
  </si>
  <si>
    <t>关于中建二局BRX厂房人员通道安全问题的整改通知单</t>
  </si>
  <si>
    <t>2026年4月8日检查中建二局BRX人员通道发现如下问题：
1、200°通道脚手架立杆直接与筏基钢筋连接，不满足方案立杆底部布置土字钉的要求，且个别扣件螺栓未露丝紧固强度不足。
2、筏基钢筋专项施工方案中有限载要求，目前一共设置了2处通道，未对钢筋承载力进行计算，通道未张贴人员及材料限载标识。</t>
  </si>
  <si>
    <t>BSZG260409001</t>
  </si>
  <si>
    <t>关于中建二局扣件式脚手架步距不满足规范要求的整改通知单</t>
  </si>
  <si>
    <t>2026-04-16</t>
  </si>
  <si>
    <t>4月8日、9日，检查5号核岛区域脚手架，发现现场脚手架存在步距不满足规范要求的问题。
1、BGZ廊道5V-3段，现场扣件式脚手架步距2.5m。
2、BRP厂房区域，扣件式脚手架距2.15m。</t>
  </si>
  <si>
    <t>BSZG260422001</t>
  </si>
  <si>
    <t>关于中建二局占道作业管理不到位的整改通知单</t>
  </si>
  <si>
    <t xml:space="preserve">4月21日，我部检查红星路区域，发现中建二局现场占道施工未建立作业控制区，现场未按要求设置施工提示公告或警示标识，进一步核实该作业未通过ICS申请占道许可，不满足项目部管理要求。
</t>
  </si>
  <si>
    <t>BSZG260422004</t>
  </si>
  <si>
    <t>关于中建二局96区边坡管控问题的整改通知单</t>
  </si>
  <si>
    <t>2026-04-28</t>
  </si>
  <si>
    <t xml:space="preserve">4月21日，HSE分部对中建二局96区检查发现：1. 96区西南侧上方施工道路区域存在裸土未全面覆盖问题，现场道路及周边裸露土石方未按环保管控要求完成全覆盖；2. 96区施工区域沙袋缺失、断档，挡水防线失效；3.北侧边坡未全面苫盖，雨天易造成水土流失；3廊道口上方边坡区域存在大面积裸露土体，未按施工期环保与水土保持管理要求实施苫盖防护。
</t>
  </si>
  <si>
    <t>黄志安</t>
  </si>
  <si>
    <t>BSZG260422003</t>
  </si>
  <si>
    <t>关于中建二局搅拌站爬梯安装安全问题的整改通知单</t>
  </si>
  <si>
    <t>2026-05-06</t>
  </si>
  <si>
    <t>4月21日检查发现中建二局搅拌站1-4号线爬梯安装作业分别有3个作业点，同时有3名动火人、3名监火员，提起作业票流程时动火人和监火人分别只选了1名，不符合《作业安全管理规定》要求；作业过程中，同班组作业人员形成交叉作业，存在落物打击风险。</t>
  </si>
  <si>
    <t>钟扬威</t>
  </si>
  <si>
    <t>BSZG260426001-2</t>
  </si>
  <si>
    <t>关于中建二局、安徽电建焊烟净化器不满足使用要求的整改通知单</t>
  </si>
  <si>
    <t>2026-06-14</t>
  </si>
  <si>
    <t xml:space="preserve">近期，对中建二局、安徽电建焊烟净化器开展检查发现存在以下问题：
中建二局：1）仰星牌焊烟净化器吸风管为可燃材质、管口无防护网，不满足GB /T43917.1-2024 3.7“过滤保护器通常位于烟尘分离设备的入口处...”，2)安净郎焊烟净化器吸风管及过滤芯均为可燃材质;3)过滤芯未按操作说明书要求进行定期保养。
安徽电建：1）梦菲阳焊烟净化器过滤芯及吸风管材质均为可燃物、管口无防护防护网。不满足GB /T43917.1-2024 3.7“过滤保护器通常位于烟尘分离设备的入口处...”2)过滤芯未按操作说明书要求进行定期保养。
</t>
  </si>
  <si>
    <t>BSZG260429005</t>
  </si>
  <si>
    <t>关于中建二局临时用电安全隐患的整改通知单</t>
  </si>
  <si>
    <t>2026-05-12</t>
  </si>
  <si>
    <t>工程部/机械队</t>
  </si>
  <si>
    <t>近期，HSE分部检查发现中建二局临建二区存在设备控制开关箱未上锁的问题，具体如下:
     1、4月14日，检查临建二区预应力车间，发现一处控制开关箱未上锁管理。
     2、4月29日，检查临建二区钢筋加工区，发现5#龙门吊控制开关箱未上锁管理。</t>
  </si>
  <si>
    <t>BSZG260429003</t>
  </si>
  <si>
    <t>关于中建二局搅拌站高处作业管理不到位问题的整改通知单</t>
  </si>
  <si>
    <t>2026-05-07</t>
  </si>
  <si>
    <t xml:space="preserve">4月28日，我部检查发现中建二局搅拌站4号线空压机房屋面高处作业存在无可靠人员上下通道、高处作业手持工具未系挂防坠尾绳等问题，具体如下：
1、人员上下空压机房屋面作业无可靠的通道，现场使用的平台梯上下屋面高度不足，人员需踩踏平台梯护栏上下攀爬，站点不稳存在坠落风险（图1）；
2、人员在屋面高处作业手持手电钻未系挂防坠尾绳（图2），屋面临边存放手锤未及时清理（图3），存在落物打击风险。
</t>
  </si>
  <si>
    <t>BSZG260429002</t>
  </si>
  <si>
    <t>关于中建二局核岛高处作业管理不到位问题的整改通知单</t>
  </si>
  <si>
    <t>2026-05-22</t>
  </si>
  <si>
    <t>近期，我部检查发现中建二局核岛高处作业存在上下交叉作业、控制区建立不完善等问题，具体如下：
1、4月28日，核岛北侧挡墙木工班组模板安装作业未建立作业控制区，且与下方清理作业人员形成上下交叉，存在落物打击风险（图1）；
2、4月28日，核岛BRP平台临边电缆敷设作业未建立作业控制区，与下方钢筋绑扎作业形成上下交叉，存在落物打击风险（图2）；
3、4月29日，核岛北侧挡墙木工班组模板安装作业（落差约9米），作业下方作业控制区保护半径约1.9米，不满足规范4米的要求（图3）；
4、4月29日，核岛西侧脚手架搭设作业下方建立作业控制区保护半径约1米，不满足规范3米要求（图4）。</t>
  </si>
  <si>
    <t>BSZG260428001</t>
  </si>
  <si>
    <t>关于中建二局塔式起重机未按要求保养的整改通知单</t>
  </si>
  <si>
    <t>2026-05-15</t>
  </si>
  <si>
    <t>4月28日，HSE分部检查中建二局塔式起重机保养落实情况时，发现塔式起重机（厂家：中联重科）主卷扬制动系统液压站未进行更换液压油，不满足使用说明书“4.3.2 首次使用6个月后必须更换新液压油”的要求。</t>
  </si>
  <si>
    <t>BSZG260430001</t>
  </si>
  <si>
    <t>关于中建二局运输零散材料不满足要求的整改通知单</t>
  </si>
  <si>
    <t>4月28日，我部对现场道路开展安全检查，发现中建二局使用平板车（车牌：粤B98236D，驾驶员：王增军）运输零散材料（铁质三角支撑架）未进行绑扎固定导致其从车上滑落至路面，存在交通安全风险。</t>
  </si>
  <si>
    <t>BSZG260429004</t>
  </si>
  <si>
    <t>关于中建二局钢结构车间焊烟净化器使用不规范监护意识不足的整改通知单</t>
  </si>
  <si>
    <t>HSE分部对中建二局钢结构车间焊烟净化器使用情况开展检查，检查结果如下：一、4月17日，焊烟净化器使用距离过远（大于40cm），焊接作业时净化器难以起效；焊烟净化器使用距离过近：焊烟净化器的万向臂末端直接正对焊接点，且位置明显低于火花飞溅区，焊接时的高温火花、熔渣易被气流直接吸入管道。二、4月19日，焊接作业未使用焊烟净化器就进行焊接作业，监护未制止且现场监护人数不足；人员焊接作业时未配戴护目镜，监护看到仍未提醒；个别工位焊烟净化器使用间距过大。</t>
  </si>
  <si>
    <t>BSZG260501001</t>
  </si>
  <si>
    <t>关于中建二局对危化品管控不到位的整改通知单</t>
  </si>
  <si>
    <t>2026-05-25</t>
  </si>
  <si>
    <t>搅拌站/钢结构队/机械队</t>
  </si>
  <si>
    <t>近期，对中建二局危化品临时存放点检查存在问题：
1）搅拌站临时危化品中转库存在固化剂未在存放证清单里面无二维码粘贴；
2）搅拌站新增的危化品临时存放点重点防火部位未向工程公司报备、无日常巡检记录；
3）临建一区危化品中转库房周边可燃物未清理；
4）临建二区已领用出库危化品未粘贴二维码；
5）临建三区应急物资放置危化品库房内取用应急不便、存放许可证过期未更换。</t>
  </si>
  <si>
    <t>BSZG260430002</t>
  </si>
  <si>
    <t>关于中建二局室外消火栓维护管理不到位问题的整改通知单</t>
  </si>
  <si>
    <t>2026-05-13</t>
  </si>
  <si>
    <t>4月30日，我部检查发现中建二局现场室外消火栓存在以下问题：
1、抽查临建三区3个室外消火栓，发现消火栓阀门均存在卡涩无法正常开启，影响消防水取用，且该区域消防水低压报警装置故障不可用。
2、抽查模块化堆场2处消火栓，发现一处消火栓阀门损坏漏水。</t>
  </si>
  <si>
    <t>BSZG260502001</t>
  </si>
  <si>
    <t>关于中建二局运输作业管理不到位的整改通知单</t>
  </si>
  <si>
    <t>2026-05-20</t>
  </si>
  <si>
    <t>5月1日，我部检查发现中建二局应急路骨料仓碎石料运输卸车作业过程中，作业负责人未安排倒车指挥对运输车辆进行指挥引导，卸料完成后未经过洗车池存在带泥上路未清理造成路面污染。</t>
  </si>
  <si>
    <t>BSZG260509005-2</t>
  </si>
  <si>
    <t>关于现场施工车辆和机械摄像安全装置及盲区报警装置安装进度滞后问题的整改通知单</t>
  </si>
  <si>
    <t>2026年4月9日，我部组织召开了交通运输安全专项分委会专题会。会议明确要求：各施工单位须依据公司程序规定，对本单位所属大型施工车辆及机械的摄像安全装置和左右盲区报警装置安装情况开展全面验证检查，并完成查漏补漏工作，整体整改时限为2026年4月30日。截至当前，经我部跟踪核查，各施工单位在承接上述整改任务过程中存在以下问题：
1. 整改推进效率偏低，进展明显滞后；
2. 未按时完成施工车辆及机械的摄像安全装置和左右盲区报警装置安装并提交验证报告；
3. 实际落实效果不满足公司安全管理程序及相关会议要求。
上述情况已对现场交通运输安全管控造成潜在风险，不满足《交通运输安全管理规定》要求。</t>
  </si>
  <si>
    <t>BSZG260508002</t>
  </si>
  <si>
    <t>关于中建二局危废库内不相容废物混存的整改通知单</t>
  </si>
  <si>
    <t>5月7日，我部检查发现危废库内中建二局贮存危废存在以下问题：
1.将“含油废水”与“废显影/定影液”混存堆放，二者属于不同类别、不同理化性质的危废，两种废液在防渗托盘内混合可能发生化学反应，产生有毒气体、热量甚至引发火灾/爆炸风险。不符合《危险废物贮存污染控制标准》（GB18597-2023）中“不相容废物必须物理隔离”的强制性要求；
2.危废标签信息不全：缺少“主要/有害成分”信息，小部分标签缺少“注意事项”等其他信息。</t>
  </si>
  <si>
    <t>BSZG260507002</t>
  </si>
  <si>
    <t>关于中建二局现场通道搭设不规范的整改通知单</t>
  </si>
  <si>
    <t>5月6日，检查中建二局5号核岛区域及模块化拼装场地发现现场存在通道搭设不规范的问题，具体如下：
1、5号核岛区域，部分进出通道仍采用直爬梯搭设，未使用踏步梯，且部分通道工装直接悬挂在单根脚手架横杆上，跨度较大，底部缺少支撑，承载力不明，且相关方案无计算说明；
2、模块化拼装场地区域，梯笼通道搭设完成后未及时悬挂验收合格信息牌及限载人数标识。
3、现场钢衬里走道板最大跨距2米，加工单只有单体走道板受力计算，方案也未明确间距布置要求，缺少相关受力计算。</t>
  </si>
  <si>
    <t>刘伶俐</t>
  </si>
  <si>
    <t>BSZG260515002-1</t>
  </si>
  <si>
    <t>关于重点人员、特殊人员未按要求在安全帽张贴标识整改通知单</t>
  </si>
  <si>
    <t>5月14日，HSE分部检查发现中建二局、深圳众大多名健康重点关注人员未按要求张贴帽贴，不满足职业健康管理要求，具体情况如下。
1.中建二局15个重点人员，安全帽帽贴未张贴重点人员标识。
2.深圳众大4个重点人员，安全帽帽贴未张贴重点人员标识，2个特殊人员安全帽帽贴未张贴特殊人员标识。
请对以上问题进行整改</t>
  </si>
  <si>
    <t>BSZG260515005</t>
  </si>
  <si>
    <t>关于中建二局塔吊地面监控系统不满足要求的整改通知单</t>
  </si>
  <si>
    <t>2026-06-12</t>
  </si>
  <si>
    <t>5月15日，HSE分部检查中建二局群塔防碰撞地面监控系统时，发现5-1#、5-3#塔吊地面监控系统未能实现存储功能，不满足《塔吊安全管理18条硬举措》要求。</t>
  </si>
  <si>
    <t>BSZG260520001</t>
  </si>
  <si>
    <t>关于中建二局起重吊装作业管控不到位的整改通知单</t>
  </si>
  <si>
    <t>2026-05-30</t>
  </si>
  <si>
    <t>5月19日晚，对中建二局5-5塔吊起重吊装作业进行检查，发现如下问题：
1、刘小波钢筋班组钢筋卸车作业，司索人员无法在智慧工地平台上搜索到相关授权信息，且作业负责人冯云成无作业负责人授权信息；
2、BNX厂房管道吊装B类高风险作业已过期，现场仍在进行。</t>
  </si>
  <si>
    <t>BSZG260520003</t>
  </si>
  <si>
    <t>关于中建二局未按要求开展职业病危害因素监测的整改通知单</t>
  </si>
  <si>
    <t>2026-05-27</t>
  </si>
  <si>
    <t>职业健康</t>
  </si>
  <si>
    <t>5月20日检查发现，中建二局未按要求在每月20日之前开展职业病危害因素监测，且项目部多次提醒仍为完成。</t>
  </si>
  <si>
    <t>BSZG260526001</t>
  </si>
  <si>
    <t>关于中建二局BGZ廊道5V-3段脚手架搭设不规范的整改通知单</t>
  </si>
  <si>
    <t>2026-06-04</t>
  </si>
  <si>
    <t>5月25日上午，检查BGZ廊道5V-3段，发现现场作业架与廊道内部顶板支撑架存在使用钢管违规相连的现象，且作业架一侧搭设高度已超过外侧抛撑三步，缺少连墙或抛撑加固，不满足规范要求。</t>
  </si>
  <si>
    <t>BSZG260528002</t>
  </si>
  <si>
    <t>关于中建二局通道搭设不规范的整改通知单</t>
  </si>
  <si>
    <t>2026-06-11</t>
  </si>
  <si>
    <t>5月28日，HSE分部检查5号核岛等区域，发现现场存在通道搭设不规范的问题：
1、BWX厂房区域，部分通道仍采用直爬梯作为通道，未设置斜爬梯。且部分存在斜爬梯与直爬梯搭配使用情况，易导致人员踏空。
2、BDA/U厂房区域，加固梯笼的缆风绳直径不满足方案要求的12mm。
3、模块化拼装场地、BDA/U厂房、BRP厂房区域三个梯笼缆风绳设置方式均与方案要求不符。</t>
  </si>
  <si>
    <t>BSZG260529004</t>
  </si>
  <si>
    <t>关于中建二局临时室外消火栓维护管理不到位问题的整改通知单</t>
  </si>
  <si>
    <t>2026-06-23</t>
  </si>
  <si>
    <t>5月28日，我部检查发现中建二局临建一区室外消火栓存在以下问题:
1、两处消火栓阀门故障，无法开启，影响消火栓使用。
2、钢结构西侧室外消火栓栓口被消火栓箱阻挡，影响栓口接水使用。</t>
  </si>
  <si>
    <t>BSZG260605003</t>
  </si>
  <si>
    <t>关于中建二局夜间施工照明不足的整改通知单</t>
  </si>
  <si>
    <t>内部验收</t>
  </si>
  <si>
    <t>2026年6月4日HSE分部开展夜间施工安全检查发现如下问题：1、燃料厂房钢筋绑扎作业照明不足，作业人员使用手机进行照明；2、预应力廊道内模板支护作业照明不足，存在安全隐患；3、1号通道夜间施工期间未开启照明，影响人员进出通行。上述问题暴露出中建二局在夜间施工照明安全管理方面存在不足。</t>
  </si>
  <si>
    <t>BSZG260605001</t>
  </si>
  <si>
    <t>关于中建二局机械设备存在安全隐患的整改通知单</t>
  </si>
  <si>
    <t>2026-06-16</t>
  </si>
  <si>
    <t>综合车间/钢结构队</t>
  </si>
  <si>
    <t>6月4日，HSE分部检查发现中建二局临建区机械设备存在急停开关失效、启动开关损坏、重复接地线断开等问题，具体如下：
    1、临建一区钢结构车间，一台摇臂钻床设备（编号ZT2150138N）加工过程中按急停开关设备仍可以转动急停开关失效，且操作人员开展日常检查记录表填写全部合格。
    2、临建二区钢筋加工区存在套丝机设备（编号002013）启动操作按钮损坏，另一台套丝机设备（编号002091）重复接地线脱落。</t>
  </si>
  <si>
    <t>BSZG260610001</t>
  </si>
  <si>
    <t>关于中建二局BRX消防水管材不满足要求的整改通知单</t>
  </si>
  <si>
    <t>责任方申请关闭</t>
  </si>
  <si>
    <t>2026年6月8日检查BRX厂房发现外环30°至180°安装的临时消防水管材制造执行标准为GB/T 18742.2—2017，经查，依据该标准生产的管材不适用于灭火系统，不满足要求。</t>
  </si>
  <si>
    <t>BSZG260622001</t>
  </si>
  <si>
    <t>关于中建二局临建区废弃净化系统烟囱安装与方案不符的整改通知单</t>
  </si>
  <si>
    <t>2026-07-07</t>
  </si>
  <si>
    <t>6月21日，我部检查中建二局临建一区废弃净化系统烟囱（17m）安装作业时，发现烟囱基础未按方案要求预埋地脚螺栓或钢板加固，与施工方案不符，且方案中未明确烟囱防台加固措施，现场未放置该作业施工方案，无法有效指导烟囱安装施工。</t>
  </si>
  <si>
    <t>BSZG260623001</t>
  </si>
  <si>
    <t>关于中建二局砂轮机安全管理不到位问题的整改通知单</t>
  </si>
  <si>
    <t>6月22日，我部检查发现中建二局临建区木工车间砂轮机存在以下问题:
1、砂轮机防护罩开口上方缺少可调式防护板，不满足规范要求；
2、砂轮片违规使用侧面打磨，其中一砂轮片已由4cm厚度磨损至3cm,会影响两砂轮片平衡运转，存在砂轮片破碎风险；
3、设备未金属外壳未设置接地；
4、设备无定人定机责任信息牌。</t>
  </si>
  <si>
    <t>BSZG260623002</t>
  </si>
  <si>
    <t>关于中建二局危废管理问题的整改通知单</t>
  </si>
  <si>
    <t>2026-07-01</t>
  </si>
  <si>
    <t>6月23日，HSE分部检查中建二局临建三区发现空压机废液等危废违规长时间露天堆放于集装箱外侧，未按规范入库密闭贮存；容器周边未张贴危险废物识别标识，无分区隔离、防渗防护措施，存在土壤、地下水环境污染风险，不符合危险废物贮存管理相关规范要求。</t>
  </si>
  <si>
    <t>BSZG260621001</t>
  </si>
  <si>
    <t>关于中建二局焊培车间职业病防护措施不到位问题的整改通知单</t>
  </si>
  <si>
    <t>2026年6月20日，HSE分部检查发现中建二局焊培车间工人打磨作业时未佩戴耳塞，且车间内未配置耳塞发放点/设施。根据2025年度第三方职业危害因素检测结果，焊培室内焊工打磨作业时、焊工个体噪声、环境噪声均超标。中建二局未采取有效措施进行管控。
依据《职业健康管理规定》（PJ-30Q-300-R）“4.10承包商应完成或配合完成职业病危害定期检测、现状评价、日常监测并对超标职业病危害进行整改”。</t>
  </si>
  <si>
    <t>BSZG260626001</t>
  </si>
  <si>
    <t>关于中建二局核岛区域安全带挂点安全问题的整改通知单</t>
  </si>
  <si>
    <t>2026-07-10</t>
  </si>
  <si>
    <t>劳动防护</t>
  </si>
  <si>
    <t>HSE分部2026年6月9日检查发现核岛基坑边坡共30处安全带挂点未验收挂牌已投入使用，且内部做的坠落试验位置及方法不具备代表性，未能验证安全带挂点的有效性，截止2026年6月26日该问题未得到有效整改，存在安全带挂点不牢靠人员坠落风险。</t>
  </si>
  <si>
    <t>冯会才</t>
  </si>
  <si>
    <t>BSZG260605004</t>
  </si>
  <si>
    <t>无授权从事司索作业</t>
  </si>
  <si>
    <t>2026-06-20</t>
  </si>
  <si>
    <t>2026年6月4日晚5-3塔吊平台处钢筋倒运吊装作业人员无授权从事司索作业</t>
  </si>
  <si>
    <t>BSZG260701003</t>
  </si>
  <si>
    <t>BSZG260702001</t>
  </si>
  <si>
    <t>关于中建二局临建区机修车间污水管理不到位的整改通知单</t>
  </si>
  <si>
    <t>2026-07-13</t>
  </si>
  <si>
    <t>7月2日，HSE分部检查发现，中建二局临建二区机修车间存在生活污水、生产废水违规排放的问题，具体如下：
1、机修车间内洗手池产生的生活污水未进行收集处理，排往附近雨水沟内。
2、机修车间东侧空压机储气罐底部设置的排污管连接至附近雨水沟内，存在生产废水外排的风险。
上述问题不符合《项目污水管理实施细则》（项目污水管理实施细则）“3.1所有生活、 生产污水的排放或回用应满足国家和地方相关标准要求，禁止私设排污口进行排放”。</t>
  </si>
  <si>
    <t>[P624585]农敢</t>
  </si>
  <si>
    <t>BSZG260710001</t>
  </si>
  <si>
    <t>关于中建二局钢筋柔性轻型钢结构安装作业未按方案施工的整改通知单</t>
  </si>
  <si>
    <t>2026-07-27</t>
  </si>
  <si>
    <t>[P620708]吴文能</t>
  </si>
  <si>
    <t>BSZG260714007</t>
  </si>
  <si>
    <t>关于中建二局使用身体部位固定工件进行切割的整改通知单</t>
  </si>
  <si>
    <t>2026-07-31</t>
  </si>
  <si>
    <t>[P626414]黄华志</t>
  </si>
  <si>
    <t>BSZG260716001</t>
  </si>
  <si>
    <t>关于中建二局核岛区域消防给水安全隐患的整改通知单</t>
  </si>
  <si>
    <t>2026-07-28</t>
  </si>
  <si>
    <t>CMF/COF</t>
  </si>
  <si>
    <t>[P242589]裴开峰</t>
  </si>
  <si>
    <t>BSZG260714005</t>
  </si>
  <si>
    <t>关于中建二局搅拌站砂石运输管理不到位问题的整改通知单</t>
  </si>
  <si>
    <t>发出部门</t>
  </si>
  <si>
    <t>停工时间</t>
  </si>
  <si>
    <t>停工范围及内容</t>
  </si>
  <si>
    <t>停工原因</t>
  </si>
  <si>
    <t>是否复工</t>
  </si>
  <si>
    <t>涉及的分包</t>
  </si>
  <si>
    <t>BLE-S-SWO-HSF-03</t>
  </si>
  <si>
    <t>1关于对中建二局临建区动土作业的停工令</t>
  </si>
  <si>
    <t>土石方作业</t>
  </si>
  <si>
    <t>临建区动土作业停工令</t>
  </si>
  <si>
    <t>2025年3月23日17:30左右，中建二局临建二区发生一起因动土作业导致10KV高压电缆线绝缘层破损事件</t>
  </si>
  <si>
    <t>已复工</t>
  </si>
  <si>
    <t>BLE-S-SWO-HSF-2026-02</t>
  </si>
  <si>
    <t>关于中建二局塔吊安装施工起重吊装作业的停工令</t>
  </si>
  <si>
    <t>塔吊安装施工起重吊装作业</t>
  </si>
  <si>
    <t>2026年1月10日15：30分左右，HSE分部检查发现中建二局5-3塔吊变径节卸车作业后所使用的两根15吨吊带异常，均存在一外保护套破损。该变径节重16.7吨，初步判断为吊带与变径节上端未设棱角保护，钢梁摩擦造成吊带保护套破损。</t>
  </si>
  <si>
    <t>5-3塔吊</t>
  </si>
  <si>
    <t>BLE-S-SWO-HSF-2026-06</t>
  </si>
  <si>
    <t>关于中建二局碳钢车间集中供气系统施工的停工令</t>
  </si>
  <si>
    <t>碳钢车间集中供气系统施工</t>
  </si>
  <si>
    <t>2026 年 3 月 18 日，HSE分部检查发现中建二局临建一区碳钢车间集中供气系统施工存在较多问题、风险较大，具体如下：
1、施工方案中缺少液氧储罐（特种设备）安装、调试、验收等相关内容，无法有效指导现场施工；
2、氧气、乙炔、二氧化碳三根供气管道室外采用埋地布置，与施工方案“架空 4 米至车间内”不符，且埋地穿越道路管道部分未设置套管、无安全标识；
3、氧气管道、阀门已安装完成，部分管道与阀门无法提供脱脂验收合格证明记录，阀门提供合格证中未明确使用介质范围；
4、氧气、乙炔供气管道与阀门未按方案要求设置防静电措施。</t>
  </si>
  <si>
    <t>临建一区碳钢车间集中供气系统</t>
  </si>
  <si>
    <t>杨永昌铆工班（集中供气）</t>
  </si>
  <si>
    <t>BLE-S-SWO-HSF-2026-14</t>
  </si>
  <si>
    <t>关于对中建二局顶管施工2号工作井作业的停工令</t>
  </si>
  <si>
    <t>中建二局BGS管网顶管施工2号工作井</t>
  </si>
  <si>
    <t>6月22日，HSE分部检查中建二局BGS管网顶管施工2号工作井受限空间作业发现如：
1、未按要求申报B级高风险作业信息，越点施工;30分钟记录气体数据;
2、受限空间作业监护不清楚间隔15分钟记录气体检测数据的要求，现场实际间隔。
3、6月16日HSE分部发出通报批评，明确要求严格按受限空间进行管理，本次问题重复发生。
依据:《核电项目现场停工管理规定》PJ-30Q-004-R(E版)“3.2局部停工准则:
现场作业条件存在较大安全隐患”向中建二局发出局部停工令。</t>
  </si>
  <si>
    <t>BGS管网顶管施工2号工作井</t>
  </si>
  <si>
    <t>BLE-S-SWO-HSF-2026-15</t>
  </si>
  <si>
    <t>关于BRP龙门吊基础回填作业的局部停工令</t>
  </si>
  <si>
    <t>BRP龙门吊基础回填作业</t>
  </si>
  <si>
    <t>2026年6月25日，项目部检查发现，中建二局BRP龙门吊基础回填作业存在人员进入挖掘机作业区域、自卸车卸料未保持安全距离、未落实先决条件检查等问题。具体如下:
1、人员进入挖掘机作业区域。基坑南侧挡墙内的回填作业中，两名作业人员直接位于挖掘
机铲斗的回转半径内进行辅助清理作业，存在挤压、碰撞或将人员卷入铲斗的机械伤害风险。
2、自卸车卸料未保持安全距离。自卸车倒车卸料作业时，紧靠基坑边缘停靠，未设置有效
的挡土坎，未保持安全距离(3m)。现场回填土质松软且车辆处于举升重载状态，存在因地面
承载力不足发生塌陷导致车辆侧翻的风险。
3、未落实先决条件检查。作业前未落实先决条件检查划定并封闭作业控制区。现场缺少指
挥人员进行有效引导，导致人员随意穿越机械作业区域。
依据:《核电项目现场停工管理规定》PJ-30Q-004-R(E版)“3.2局部停工准则:现场
作业条件存在较大安全隐患”向中建二局发出局部停工令。</t>
  </si>
  <si>
    <t>杨亚堂班</t>
  </si>
  <si>
    <t>基地</t>
  </si>
  <si>
    <t>ZGTZ-202503-IS-01</t>
  </si>
  <si>
    <t>1关于中建二局动土作业执行不到位的整改通知单</t>
  </si>
  <si>
    <t>高春芳班组</t>
  </si>
  <si>
    <t>监理</t>
  </si>
  <si>
    <t>BTZTYHPXSTJLT000006</t>
  </si>
  <si>
    <t>2关于搅拌站翻新改造工程4#搅拌机动火作业未办证问题的监理通知单</t>
  </si>
  <si>
    <t>陈爱荣班组</t>
  </si>
  <si>
    <t>083-BT-L-HPXS-G-GBNS-000001</t>
  </si>
  <si>
    <t>3《关于防城港项目2025年第一季度环境管理专项检查的监理通知单》的函</t>
  </si>
  <si>
    <t>083-BT-L-HPXS-G-YYYY-000007</t>
  </si>
  <si>
    <t>4关于中建二局临建一区动土作业问题的监理通知单 </t>
  </si>
  <si>
    <t>083-BT-L-HPXS-G-YYYY-000008</t>
  </si>
  <si>
    <t>5关于中建二局临建二区6#门式起重机吊装问题的监理通知单</t>
  </si>
  <si>
    <t>083-BT-L-HPXS-G-GBNS-000002</t>
  </si>
  <si>
    <t>6《关于三期现场临电设施存在问题的监理通知单》的函 批示版</t>
  </si>
  <si>
    <t>ZGTZ-202507-EP-02</t>
  </si>
  <si>
    <t>7关于对中建二局临时渣土暂存及水土保持相关要求落实不到位的整改通知</t>
  </si>
  <si>
    <t>曾小勇</t>
  </si>
  <si>
    <t>083-BT-L-HPXS-G-NJTS-000005</t>
  </si>
  <si>
    <t>8关于7BGZ廊道7X-3段钢筋绑扎支撑安全问题的监理通知单</t>
  </si>
  <si>
    <t xml:space="preserve"> 083-BT-L-HPXS-G-YYYY-000020 </t>
  </si>
  <si>
    <t>9关于7BGZ综合廊道（7X-1段）危大工程模板支撑架验收不合格的
监理通知单</t>
  </si>
  <si>
    <t>083-BT-L-HPXS-G-NJTS-000007</t>
  </si>
  <si>
    <t>10关于中建二局5-5#塔吊安装基础验收资料未完善问题的监理通知单</t>
  </si>
  <si>
    <t>083-BT-L-HPXS-G-YYYY-000025</t>
  </si>
  <si>
    <t>11关于5号机组模块化拼装场地内汽车吊现场维修的监理通知单</t>
  </si>
  <si>
    <t>083-BT-L-HPXS-G-YYYY-000031</t>
  </si>
  <si>
    <t>12关于5BSAⅡ区1号地坑高处临边防护问题的监理通知单</t>
  </si>
  <si>
    <t>13《关于中建二局旋挖钻机操作人员证件造假的监理通知单》的函 批示版</t>
  </si>
  <si>
    <t xml:space="preserve">083-BT-L-HPXS-G-YYYY-000042 </t>
  </si>
  <si>
    <t>14 关于中建二局5BFX北侧灌注桩孔洞未加盖板问题的监理通知单</t>
  </si>
  <si>
    <t>083-BT-L-HPXS-G-YYYY-000043</t>
  </si>
  <si>
    <t>15 关于中建二局进入5号核岛车辆通道安全问题的监理通知单</t>
  </si>
  <si>
    <t xml:space="preserve">083-BT-L-HPXS-G-YYYY-000044 </t>
  </si>
  <si>
    <t>《关于防城港核电项目2025年强制性条文执行情况专项检查报告的监理通知单》的函批示版</t>
  </si>
  <si>
    <t>083-BT-L-HPXS-G-YYYY-000048</t>
  </si>
  <si>
    <t>关于中建二局5-8#塔吊安装工无起重指挥资格的监理通知单</t>
  </si>
  <si>
    <t>2026-02-09</t>
  </si>
  <si>
    <t>5-8#塔吊</t>
  </si>
  <si>
    <t>2026年01月09日，我部监理工程师对中建二局5-8#塔吊安装旁站检查时，发现主要问题:塔吊安装起重臂等部件时，由塔吊上面的安装工通过对讲机与地面起重司机直接沟通、指挥，经核查4名安装工均没有起重信号特种作业证(附图)，不符合《建筑施工起重吊装工程安全技术规范》(JGJ276-2012)第3.0.2条“起重机操作人员、起重信号工、司索工等特种作业人员必须持特种作业资格证书上岗。”规定，现场立即叫停纠正。</t>
  </si>
  <si>
    <t>083-BT-L-HPXS-G-YYYY-000049</t>
  </si>
  <si>
    <t>关于中建二局搅拌站粉煤罐吊装作业存在安全问题的监理通知单</t>
  </si>
  <si>
    <t>魏志广</t>
  </si>
  <si>
    <t>搅拌站粉煤罐</t>
  </si>
  <si>
    <t>2026年01月12日，我部监理工程师对中建二局搅拌站粉煤罐吊装作业巡视检查时，发现以下问题:1、粉煤罐通过两台汽车吊起吊卸货和翻身，起吊到一定高度后货车经粉煤罐底下倒车通过(图1);2、粉煤罐在吊装过程中相关作业人员在悬停的粉煤罐底下进行定位销切割、焊接等作业的安全隐患问题(图2、图3)，不符合《建筑施工起重吊装工程安全技术规范》(JGJ276-2012)第3.0.18条“严禁在已吊起的构件下面或起重臂下旋转范围内作业或行走。”的规定(图4)，现场立即叫停纠正。</t>
  </si>
  <si>
    <t>083-BT-L-HPXS-G-YYYY-000052</t>
  </si>
  <si>
    <t>关于中建二局7BGZ廊道危大工程验收存在问题的监理通知单</t>
  </si>
  <si>
    <t>7BGZ廊道7W-1段</t>
  </si>
  <si>
    <t>2026年2月3日下午，我部监理工程师在进行7BGZ廊道7W-1段危大工程人孔模板支撑架验收时发现:
1、该危大工程未设置施工信息告知牌，不符合《危险性较大的分部分项工程安全管理规定》(中华人民共和国住房和城乡建设部令第37号)第十四条“施工单位应当在施工现场显著位置公告危大工程名称、施工时间和具体责任人员，并在危险区域设置安全警示标志”的规定。
2、盘扣式支撑架斜拉杆组搭方向不符合《廊道顶板支撑架专项施工方案》(C版)第4.3.2.2节“将斜拉杆全部依顺时针或全部逆时针方向组搭”的要求。</t>
  </si>
  <si>
    <t>083-BT-L-HPXS-G-YYYY-000061</t>
  </si>
  <si>
    <t>关于中建二局7BWX施工区安全防护措施被随意拆除的监理通知单</t>
  </si>
  <si>
    <t>2026-04-02</t>
  </si>
  <si>
    <t>7BWX施工区域</t>
  </si>
  <si>
    <t>2026年03月02日，我部监理人员对中建二局5号核岛施工区进行巡视时，发现如下问题:7BWX施工区域其中一道安全防护栏杆的安全网被随意拆除形成一个口，且有相关人员借此口子通行(附图)，不符合《建筑与市政施工现场安全卫生与职业健康通用规范》(GB55034-2022)第3.2.3条“在建工程的预留洞口、通道口、楼梯口、电梯井口等孔洞以及无围护设施或围护设施高度低于1.2m的楼层周边，楼梯侧边、平台或阳台边、屋面周边和沟、坑、槽等沿边应采取安全防护措施，并严禁随意拆除。”的规定，现场立即制止相关人员通行，同时要求恢复设置安全网。</t>
  </si>
  <si>
    <t>083-BT-L-HPXS-G-YYYY-000068</t>
  </si>
  <si>
    <t>关于中建二局施工现场吊装作业未建立控制区的监理通知单</t>
  </si>
  <si>
    <t>5BDA/U应急柴油发电机厂房</t>
  </si>
  <si>
    <t>3月25日，我部监理人员现场巡视时发现:5BDA/U应急柴油发电机厂房上下梯笼通道处吊装施工作业未设置警戒区域，且作业期间工人随意穿行，存在安全风险(附图一)。我部监理人员立即对现场活动进行了叫停，同时对相关施工、监护、指挥、安全管理等人员进行口头教育，并要求设置警戒区域，验证完成后方可继续作业。
上述情况违反了《建筑施工起重吊装安全技术规范》(JGJ-276-2012)3.0.5条:“吊装作业区域四周应设置明显标志，严禁非操作人员入内”及《建筑与市政施工现场安全卫生与职业健康通用规范》(GB55034-2022)3.4.1条:“吊装作业前应设置安全保护区域及警示标识，吊装作业时应该安排专人监护，防止无关人员进入，严禁任何人在吊物或者起重臂下停留或通行”的要求。</t>
  </si>
  <si>
    <t>083-BT-L-HPXS-G-YYYY-000078</t>
  </si>
  <si>
    <t>关于中建二局、安徽电建汽车起重机第五支腿支设问题的监
理通知单</t>
  </si>
  <si>
    <t>96区管网</t>
  </si>
  <si>
    <t>中建二局96区管网起重作业时汽车起重机（辽BXX940）第五支腿未离地（图4、图5、图6）</t>
  </si>
  <si>
    <t>083-BT-L-HPXS-G-YYYY-000080</t>
  </si>
  <si>
    <t>关于中建二局临建一区危化品使用问题的监理通知单</t>
  </si>
  <si>
    <t>临建一区危化品库</t>
  </si>
  <si>
    <t>2026年04月14日上午，我部监理人员在中建二局临建一区钢结构堆场巡视时，发现以下问题:
1)中建二局钢结构队在用清水冲洗使用Ardrox清洗剂清洗后的5BRX钢衬里截锥体加强节钢板时，含有Ardrox清洗剂成份的废液无防渗漏及回收处理措施，直接随地排放渗入地面及流入一旁排水沟内(附图1)。该清洗剂的危险性说明中明确对水生生物有毒害并有长期持续影响。(附图2)
2)相关安全技术交底中未对该危化品的安全使用方法进行明确。(附图3)监理人员立即暂停现场该项作业活动。
以上问题违反了《危险化学品安全管理条例》(国务院令第344号)第十六条“生产、储存、使用危险化学品的，应当根据危险化学品的种类、特性，在车间、库房等作业场所设置相应的监测、通风、防晒、调温、防火、灭火、防爆、泄压、防毒、消毒、中和、防潮、防雷、防静电、防腐、防渗漏、防护围堤或者隔离操作等安全设施、设备，并按照国家标准和国家有关规定进行维护、保养，保证符合安全运行”的要求，以及违反《建筑与市政施工现场安全卫生与职业健康通用规范》(GB55034-2022)第4.0.5条“严禁将有毒物质、易燃易爆物品、油类、酸碱类物质向城市排水管或地表水体排放”的要求。</t>
  </si>
  <si>
    <t>083-BT-L-HPXS-G-YYYY-000088</t>
  </si>
  <si>
    <t>关于中建二局安全隐患系统整改问题的监理通知单</t>
  </si>
  <si>
    <t xml:space="preserve"> 现随函发送《关于中建二局安全隐患系统整改问题的监理通知单》，请
在附件中查收，并于2026年05月28日前答复。</t>
  </si>
  <si>
    <t>083-BT-L-HPXS-G-YYYY-000090</t>
  </si>
  <si>
    <t>关于7BGS管网96区2号工作井施工脚手架未按方案搭设的监
理通知单</t>
  </si>
  <si>
    <t>中广核工程有限公司防城港项目部、中国建筑第二工程局有限公司广西防
城港核电厂5、6号机组核岛土建工程项目部：
请贵部按照我部所发《关于7BGS管网96区2号工作井施工脚手架未按
方案搭设的监理通知单》要求安排整改，具体详见附件。</t>
  </si>
  <si>
    <t>BT5NIHPXSAJLT000083</t>
  </si>
  <si>
    <t>关于中建二局吊装物件捆绑存在安全问题的监理通知单</t>
  </si>
  <si>
    <t>5-3#塔吊</t>
  </si>
  <si>
    <t>2026年5月11日，我部监理人员对5号核岛施工现场安全巡视检查时，发现5-3#塔吊正在进行钢筋支撑架散件吊装作业，吊链只捆绑散件物料半边，存在单点吊装导致吊物滑落的较大安全问题(附图)，不符合起重吊装作业“十不吊”原则中“吊物捆绑不牢不吊”的规定。我部监理人员立即制止，现场要求整改。</t>
  </si>
  <si>
    <t>BT5NHPXSAJLT000086</t>
  </si>
  <si>
    <t>关于中建二局7BGS工作井悬空作业不符合要求的监理通知单</t>
  </si>
  <si>
    <t>2026.06.20</t>
  </si>
  <si>
    <t>2026年5月19日，我部监理工程师在现场巡视时发现，中建二局7BGS顶管工作井周围操作平台未完成搭设，工人从上方翻出顶管工作井悬空作业(垂直落差约7m),攀爬钢筋骨架，存在高处坠落风险，我部人员发现后立即制止了该行为。上述情况不符合《建筑施工高处作业安全技术规范》(JGJ80-2016)第5.2.5条“悬空作业......不得站在钢筋骨架上或攀登骨架”的规定。
针对以上安全问题，请落实以下整改要求:
1、完成操作平台搭设并验收合格后再进行施工。
2、组织安全作业交底，进行经验反馈，完善有关工作程序规定。
请于2026年6月20日之前回复我部。</t>
  </si>
  <si>
    <t>BT-L-HPXS-G-YYYY-000101</t>
  </si>
  <si>
    <t>关于中建二局混凝土泵车不安全作业的监理通知单</t>
  </si>
  <si>
    <t>2026.06.30</t>
  </si>
  <si>
    <t>中广核工程有限公司防城港项目部、中国建筑第二工程局有限公司广西防城
港核电厂 5、6 号机组核岛土建工程项目部：
请贵部按照我部所发《关于中建二局混凝土泵车不安全作业的监理通知
单》要求安排整改，具体详见附件。</t>
  </si>
  <si>
    <t>083-BT-L-HPXS-G-YYYY-000109</t>
  </si>
  <si>
    <t>关于中建二局搅拌站危化品临时存放问题的监理通知单</t>
  </si>
  <si>
    <t>2026.07.11</t>
  </si>
  <si>
    <t>现随函发送《关于中建二局搅拌站危化品临时存放问题的监理通知单
》，请在附件中查收，并于2026年07月11日前答复。</t>
  </si>
  <si>
    <t>083-BT-L-HPXS-G-YYYY-000111</t>
  </si>
  <si>
    <t>关于中建二局、安徽电建安全管理体系存在问题的通知单</t>
  </si>
  <si>
    <t>曹春玲</t>
  </si>
  <si>
    <t>现随函发送《关于中建二局、安徽电建安全管理体系存在问题的通知
单》，请在附件中查收，并于2026年07月10日前答复。</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</si>
</sst>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d;@"/>
    <numFmt numFmtId="178" formatCode="yyyy\-mm\-dd"/>
    <numFmt numFmtId="179" formatCode="yyyy&quot;年&quot;m&quot;月&quot;d&quot;日&quot;;@"/>
  </numFmts>
  <fonts count="42">
    <font>
      <sz val="11"/>
      <color theme="1"/>
      <name val="宋体"/>
      <charset val="134"/>
      <scheme val="minor"/>
    </font>
    <font>
      <b/>
      <sz val="10"/>
      <color theme="0"/>
      <name val="微软雅黑"/>
      <charset val="134"/>
    </font>
    <font>
      <sz val="10"/>
      <color theme="1"/>
      <name val="微软雅黑"/>
      <charset val="134"/>
    </font>
    <font>
      <sz val="12"/>
      <name val="宋体"/>
      <charset val="134"/>
    </font>
    <font>
      <sz val="10"/>
      <name val="微软雅黑"/>
      <charset val="134"/>
    </font>
    <font>
      <sz val="12"/>
      <name val="微软雅黑"/>
      <charset val="134"/>
    </font>
    <font>
      <sz val="14"/>
      <name val="微软雅黑"/>
      <charset val="134"/>
    </font>
    <font>
      <sz val="14"/>
      <color theme="1"/>
      <name val="宋体"/>
      <charset val="134"/>
      <scheme val="minor"/>
    </font>
    <font>
      <sz val="14"/>
      <name val="宋体"/>
      <charset val="134"/>
    </font>
    <font>
      <sz val="12"/>
      <color theme="1"/>
      <name val="宋体"/>
      <charset val="134"/>
      <scheme val="minor"/>
    </font>
    <font>
      <sz val="12"/>
      <color indexed="8"/>
      <name val="宋体"/>
      <charset val="134"/>
      <scheme val="minor"/>
    </font>
    <font>
      <sz val="12"/>
      <color rgb="FFFF0000"/>
      <name val="宋体"/>
      <charset val="134"/>
      <scheme val="minor"/>
    </font>
    <font>
      <sz val="12"/>
      <color theme="1"/>
      <name val="宋体"/>
      <charset val="134"/>
    </font>
    <font>
      <sz val="12"/>
      <color indexed="8"/>
      <name val="宋体"/>
      <charset val="134"/>
    </font>
    <font>
      <sz val="12"/>
      <color rgb="FFFF0000"/>
      <name val="宋体"/>
      <charset val="134"/>
    </font>
    <font>
      <sz val="12"/>
      <color rgb="FF333333"/>
      <name val="宋体"/>
      <charset val="134"/>
    </font>
    <font>
      <sz val="10"/>
      <color theme="0"/>
      <name val="微软雅黑"/>
      <charset val="134"/>
    </font>
    <font>
      <sz val="10"/>
      <color theme="1"/>
      <name val="宋体"/>
      <charset val="134"/>
    </font>
    <font>
      <sz val="10"/>
      <name val="宋体"/>
      <charset val="134"/>
    </font>
    <font>
      <b/>
      <sz val="11"/>
      <color rgb="FFFFFFFF"/>
      <name val="宋体"/>
      <charset val="134"/>
      <scheme val="minor"/>
    </font>
    <font>
      <sz val="11"/>
      <color indexed="8"/>
      <name val="微软雅黑"/>
      <charset val="134"/>
    </font>
    <font>
      <sz val="11"/>
      <color rgb="FF000000"/>
      <name val="微软雅黑"/>
      <charset val="134"/>
    </font>
    <font>
      <sz val="11"/>
      <color indexed="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0">
    <fill>
      <patternFill patternType="none"/>
    </fill>
    <fill>
      <patternFill patternType="gray125"/>
    </fill>
    <fill>
      <patternFill patternType="solid">
        <fgColor rgb="FF0070C0"/>
        <bgColor indexed="64"/>
      </patternFill>
    </fill>
    <fill>
      <patternFill patternType="solid">
        <fgColor rgb="FFFFFF00"/>
        <bgColor indexed="64"/>
      </patternFill>
    </fill>
    <fill>
      <patternFill patternType="solid">
        <fgColor theme="0"/>
        <bgColor indexed="64"/>
      </patternFill>
    </fill>
    <fill>
      <patternFill patternType="solid">
        <fgColor rgb="FFFFFFFF"/>
        <bgColor indexed="64"/>
      </patternFill>
    </fill>
    <fill>
      <patternFill patternType="solid">
        <fgColor rgb="FFFF0000"/>
        <bgColor indexed="64"/>
      </patternFill>
    </fill>
    <fill>
      <patternFill patternType="solid">
        <fgColor theme="6" tint="0.6"/>
        <bgColor indexed="64"/>
      </patternFill>
    </fill>
    <fill>
      <patternFill patternType="solid">
        <fgColor rgb="FF5B9BD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thin">
        <color auto="1"/>
      </left>
      <right style="thin">
        <color auto="1"/>
      </right>
      <top style="thin">
        <color auto="1"/>
      </top>
      <bottom style="thin">
        <color indexed="8"/>
      </bottom>
      <diagonal/>
    </border>
    <border>
      <left style="thin">
        <color auto="1"/>
      </left>
      <right style="thin">
        <color indexed="8"/>
      </right>
      <top style="thin">
        <color auto="1"/>
      </top>
      <bottom style="thin">
        <color indexed="8"/>
      </bottom>
      <diagonal/>
    </border>
    <border>
      <left style="thin">
        <color auto="1"/>
      </left>
      <right style="thin">
        <color auto="1"/>
      </right>
      <top style="thin">
        <color auto="1"/>
      </top>
      <bottom/>
      <diagonal/>
    </border>
    <border>
      <left style="thin">
        <color auto="1"/>
      </left>
      <right style="thin">
        <color indexed="8"/>
      </right>
      <top style="thin">
        <color auto="1"/>
      </top>
      <bottom/>
      <diagonal/>
    </border>
    <border>
      <left style="thin">
        <color auto="1"/>
      </left>
      <right/>
      <top style="thin">
        <color auto="1"/>
      </top>
      <bottom style="thin">
        <color auto="1"/>
      </bottom>
      <diagonal/>
    </border>
    <border>
      <left style="thin">
        <color auto="1"/>
      </left>
      <right style="thin">
        <color indexed="8"/>
      </right>
      <top style="thin">
        <color indexed="8"/>
      </top>
      <bottom style="thin">
        <color auto="1"/>
      </bottom>
      <diagonal/>
    </border>
    <border>
      <left style="thin">
        <color auto="1"/>
      </left>
      <right/>
      <top style="thin">
        <color auto="1"/>
      </top>
      <bottom/>
      <diagonal/>
    </border>
    <border>
      <left style="thin">
        <color auto="1"/>
      </left>
      <right/>
      <top style="thin">
        <color auto="1"/>
      </top>
      <bottom style="thin">
        <color indexed="8"/>
      </bottom>
      <diagonal/>
    </border>
    <border>
      <left/>
      <right style="thin">
        <color auto="1"/>
      </right>
      <top style="thin">
        <color auto="1"/>
      </top>
      <bottom style="thin">
        <color indexed="8"/>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3" fillId="0" borderId="0">
      <alignment vertical="center"/>
    </xf>
    <xf numFmtId="0" fontId="24" fillId="0" borderId="0">
      <alignment vertical="center"/>
    </xf>
    <xf numFmtId="0" fontId="0" fillId="9" borderId="13">
      <alignment vertical="center"/>
    </xf>
    <xf numFmtId="0" fontId="25" fillId="0" borderId="0">
      <alignment vertical="center"/>
    </xf>
    <xf numFmtId="0" fontId="26" fillId="0" borderId="0">
      <alignment vertical="center"/>
    </xf>
    <xf numFmtId="0" fontId="27" fillId="0" borderId="0">
      <alignment vertical="center"/>
    </xf>
    <xf numFmtId="0" fontId="28" fillId="0" borderId="14">
      <alignment vertical="center"/>
    </xf>
    <xf numFmtId="0" fontId="29" fillId="0" borderId="14">
      <alignment vertical="center"/>
    </xf>
    <xf numFmtId="0" fontId="30" fillId="0" borderId="15">
      <alignment vertical="center"/>
    </xf>
    <xf numFmtId="0" fontId="30" fillId="0" borderId="0">
      <alignment vertical="center"/>
    </xf>
    <xf numFmtId="0" fontId="31" fillId="10" borderId="16">
      <alignment vertical="center"/>
    </xf>
    <xf numFmtId="0" fontId="32" fillId="11" borderId="17">
      <alignment vertical="center"/>
    </xf>
    <xf numFmtId="0" fontId="33" fillId="11" borderId="16">
      <alignment vertical="center"/>
    </xf>
    <xf numFmtId="0" fontId="34" fillId="12" borderId="18">
      <alignment vertical="center"/>
    </xf>
    <xf numFmtId="0" fontId="35" fillId="0" borderId="19">
      <alignment vertical="center"/>
    </xf>
    <xf numFmtId="0" fontId="36" fillId="0" borderId="20">
      <alignment vertical="center"/>
    </xf>
    <xf numFmtId="0" fontId="37" fillId="13" borderId="0">
      <alignment vertical="center"/>
    </xf>
    <xf numFmtId="0" fontId="38" fillId="14" borderId="0">
      <alignment vertical="center"/>
    </xf>
    <xf numFmtId="0" fontId="39" fillId="15" borderId="0">
      <alignment vertical="center"/>
    </xf>
    <xf numFmtId="0" fontId="40" fillId="16" borderId="0">
      <alignment vertical="center"/>
    </xf>
    <xf numFmtId="0" fontId="41" fillId="17" borderId="0">
      <alignment vertical="center"/>
    </xf>
    <xf numFmtId="0" fontId="41" fillId="18" borderId="0">
      <alignment vertical="center"/>
    </xf>
    <xf numFmtId="0" fontId="40" fillId="19" borderId="0">
      <alignment vertical="center"/>
    </xf>
    <xf numFmtId="0" fontId="40" fillId="20" borderId="0">
      <alignment vertical="center"/>
    </xf>
    <xf numFmtId="0" fontId="41" fillId="21" borderId="0">
      <alignment vertical="center"/>
    </xf>
    <xf numFmtId="0" fontId="41" fillId="22" borderId="0">
      <alignment vertical="center"/>
    </xf>
    <xf numFmtId="0" fontId="40" fillId="23" borderId="0">
      <alignment vertical="center"/>
    </xf>
    <xf numFmtId="0" fontId="40" fillId="24" borderId="0">
      <alignment vertical="center"/>
    </xf>
    <xf numFmtId="0" fontId="41" fillId="25" borderId="0">
      <alignment vertical="center"/>
    </xf>
    <xf numFmtId="0" fontId="41" fillId="26" borderId="0">
      <alignment vertical="center"/>
    </xf>
    <xf numFmtId="0" fontId="40" fillId="27" borderId="0">
      <alignment vertical="center"/>
    </xf>
    <xf numFmtId="0" fontId="40" fillId="28" borderId="0">
      <alignment vertical="center"/>
    </xf>
    <xf numFmtId="0" fontId="41" fillId="29" borderId="0">
      <alignment vertical="center"/>
    </xf>
    <xf numFmtId="0" fontId="41" fillId="30" borderId="0">
      <alignment vertical="center"/>
    </xf>
    <xf numFmtId="0" fontId="40" fillId="31" borderId="0">
      <alignment vertical="center"/>
    </xf>
    <xf numFmtId="0" fontId="40" fillId="32" borderId="0">
      <alignment vertical="center"/>
    </xf>
    <xf numFmtId="0" fontId="41" fillId="33" borderId="0">
      <alignment vertical="center"/>
    </xf>
    <xf numFmtId="0" fontId="41" fillId="34" borderId="0">
      <alignment vertical="center"/>
    </xf>
    <xf numFmtId="0" fontId="40" fillId="35" borderId="0">
      <alignment vertical="center"/>
    </xf>
    <xf numFmtId="0" fontId="40" fillId="36" borderId="0">
      <alignment vertical="center"/>
    </xf>
    <xf numFmtId="0" fontId="41" fillId="37" borderId="0">
      <alignment vertical="center"/>
    </xf>
    <xf numFmtId="0" fontId="41" fillId="38" borderId="0">
      <alignment vertical="center"/>
    </xf>
    <xf numFmtId="0" fontId="40" fillId="39" borderId="0">
      <alignment vertical="center"/>
    </xf>
  </cellStyleXfs>
  <cellXfs count="151">
    <xf numFmtId="0" fontId="0" fillId="0" borderId="0" xfId="0" applyAlignment="1">
      <alignment vertical="center"/>
    </xf>
    <xf numFmtId="0" fontId="1" fillId="2" borderId="1" xfId="0" applyNumberFormat="1" applyFont="1" applyFill="1" applyBorder="1" applyAlignment="1">
      <alignment horizontal="center" vertical="center" wrapText="1"/>
    </xf>
    <xf numFmtId="176" fontId="1" fillId="2" borderId="1" xfId="0" applyNumberFormat="1" applyFont="1" applyFill="1" applyBorder="1" applyAlignment="1">
      <alignment horizontal="center" vertical="center" wrapText="1"/>
    </xf>
    <xf numFmtId="177" fontId="1" fillId="2" borderId="1" xfId="0" applyNumberFormat="1" applyFont="1" applyFill="1" applyBorder="1" applyAlignment="1">
      <alignment horizontal="center" vertical="center" wrapText="1"/>
    </xf>
    <xf numFmtId="176" fontId="1" fillId="2" borderId="1" xfId="0" applyNumberFormat="1" applyFont="1" applyFill="1" applyBorder="1" applyAlignment="1">
      <alignment horizontal="center" vertical="center"/>
    </xf>
    <xf numFmtId="176" fontId="1" fillId="2" borderId="2"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176" fontId="2" fillId="3" borderId="1" xfId="0" applyNumberFormat="1" applyFont="1" applyFill="1" applyBorder="1" applyAlignment="1">
      <alignment horizontal="center" vertical="center" wrapText="1"/>
    </xf>
    <xf numFmtId="176" fontId="2" fillId="0" borderId="1" xfId="0" applyNumberFormat="1" applyFont="1" applyFill="1" applyBorder="1" applyAlignment="1">
      <alignment horizontal="left" vertical="center" wrapText="1"/>
    </xf>
    <xf numFmtId="177" fontId="2" fillId="0" borderId="1" xfId="0" applyNumberFormat="1" applyFont="1" applyFill="1" applyBorder="1" applyAlignment="1">
      <alignment horizontal="center" vertical="center" wrapText="1"/>
    </xf>
    <xf numFmtId="176" fontId="2" fillId="0" borderId="1" xfId="0" applyNumberFormat="1" applyFont="1" applyFill="1" applyBorder="1" applyAlignment="1">
      <alignment horizontal="center" vertical="center" wrapText="1"/>
    </xf>
    <xf numFmtId="176" fontId="2" fillId="4" borderId="1" xfId="0" applyNumberFormat="1" applyFont="1" applyFill="1" applyBorder="1" applyAlignment="1">
      <alignment horizontal="center" vertical="center" wrapText="1"/>
    </xf>
    <xf numFmtId="176" fontId="2" fillId="0" borderId="2" xfId="0" applyNumberFormat="1" applyFont="1" applyFill="1" applyBorder="1" applyAlignment="1">
      <alignment horizontal="center" vertical="center" wrapText="1"/>
    </xf>
    <xf numFmtId="0" fontId="3" fillId="0" borderId="0" xfId="0" applyFont="1" applyFill="1" applyAlignment="1">
      <alignment vertical="center"/>
    </xf>
    <xf numFmtId="0" fontId="3" fillId="0" borderId="2" xfId="0" applyFont="1" applyFill="1" applyBorder="1" applyAlignment="1">
      <alignment vertical="center"/>
    </xf>
    <xf numFmtId="0" fontId="3" fillId="0" borderId="1" xfId="0" applyFont="1" applyFill="1" applyBorder="1" applyAlignment="1">
      <alignment horizontal="center" vertical="center"/>
    </xf>
    <xf numFmtId="0" fontId="3" fillId="0" borderId="1" xfId="0" applyFont="1" applyFill="1" applyBorder="1" applyAlignment="1">
      <alignment vertical="center"/>
    </xf>
    <xf numFmtId="176" fontId="2" fillId="0" borderId="3" xfId="0" applyNumberFormat="1" applyFont="1" applyFill="1" applyBorder="1" applyAlignment="1">
      <alignment horizontal="left" vertical="center" wrapText="1"/>
    </xf>
    <xf numFmtId="176" fontId="2" fillId="0" borderId="3" xfId="0" applyNumberFormat="1" applyFont="1" applyFill="1" applyBorder="1" applyAlignment="1">
      <alignment horizontal="center" vertical="center" wrapText="1"/>
    </xf>
    <xf numFmtId="0" fontId="3" fillId="0" borderId="3" xfId="0" applyFont="1" applyFill="1" applyBorder="1" applyAlignment="1">
      <alignment horizontal="center" vertical="center"/>
    </xf>
    <xf numFmtId="0" fontId="3" fillId="0" borderId="3" xfId="0" applyFont="1" applyFill="1" applyBorder="1" applyAlignment="1">
      <alignment vertical="center"/>
    </xf>
    <xf numFmtId="0" fontId="3" fillId="0" borderId="4" xfId="0" applyFont="1" applyFill="1" applyBorder="1" applyAlignment="1">
      <alignment vertical="center"/>
    </xf>
    <xf numFmtId="176" fontId="2" fillId="0" borderId="5" xfId="0" applyNumberFormat="1" applyFont="1" applyFill="1" applyBorder="1" applyAlignment="1">
      <alignment horizontal="center" vertical="center" wrapText="1"/>
    </xf>
    <xf numFmtId="0" fontId="3" fillId="0" borderId="5" xfId="0" applyFont="1" applyFill="1" applyBorder="1" applyAlignment="1">
      <alignment horizontal="center" vertical="center"/>
    </xf>
    <xf numFmtId="0" fontId="3" fillId="0" borderId="5" xfId="0" applyFont="1" applyFill="1" applyBorder="1" applyAlignment="1">
      <alignment vertical="center"/>
    </xf>
    <xf numFmtId="0" fontId="3" fillId="0" borderId="6" xfId="0" applyFont="1" applyFill="1" applyBorder="1" applyAlignment="1">
      <alignment vertical="center"/>
    </xf>
    <xf numFmtId="0" fontId="4" fillId="0" borderId="1" xfId="0" applyFont="1" applyFill="1" applyBorder="1" applyAlignment="1">
      <alignment horizontal="center" vertical="center"/>
    </xf>
    <xf numFmtId="0" fontId="5" fillId="0" borderId="1" xfId="0" applyFont="1" applyFill="1" applyBorder="1" applyAlignment="1">
      <alignment vertical="center"/>
    </xf>
    <xf numFmtId="0" fontId="3" fillId="0" borderId="1" xfId="0" applyFont="1" applyFill="1" applyBorder="1" applyAlignment="1">
      <alignment vertical="center" wrapText="1"/>
    </xf>
    <xf numFmtId="0" fontId="3" fillId="0" borderId="0" xfId="0" applyFont="1" applyFill="1" applyAlignment="1">
      <alignment vertical="center"/>
    </xf>
    <xf numFmtId="0" fontId="6" fillId="3" borderId="1" xfId="0" applyFont="1" applyFill="1" applyBorder="1" applyAlignment="1">
      <alignment horizontal="center" vertical="center"/>
    </xf>
    <xf numFmtId="0" fontId="6" fillId="3" borderId="1" xfId="0" applyFont="1" applyFill="1" applyBorder="1" applyAlignment="1">
      <alignment horizontal="center" vertical="center" wrapText="1"/>
    </xf>
    <xf numFmtId="0" fontId="0" fillId="0" borderId="1" xfId="0" applyFont="1" applyFill="1" applyBorder="1" applyAlignment="1">
      <alignment horizontal="center" vertical="center"/>
    </xf>
    <xf numFmtId="0" fontId="7" fillId="0" borderId="1" xfId="0" applyFont="1" applyFill="1" applyBorder="1" applyAlignment="1">
      <alignment horizontal="center" vertical="center"/>
    </xf>
    <xf numFmtId="14" fontId="7" fillId="0" borderId="1" xfId="0" applyNumberFormat="1" applyFont="1" applyFill="1" applyBorder="1" applyAlignment="1">
      <alignment horizontal="center" vertical="center"/>
    </xf>
    <xf numFmtId="0" fontId="7" fillId="0" borderId="1" xfId="0" applyFont="1" applyFill="1" applyBorder="1" applyAlignment="1">
      <alignment horizontal="center" vertical="center" wrapText="1"/>
    </xf>
    <xf numFmtId="0" fontId="7" fillId="0" borderId="1" xfId="0" applyFont="1" applyFill="1" applyBorder="1" applyAlignment="1">
      <alignment horizontal="justify" vertical="center" wrapText="1"/>
    </xf>
    <xf numFmtId="0" fontId="8" fillId="0" borderId="1" xfId="0" applyFont="1" applyFill="1" applyBorder="1" applyAlignment="1">
      <alignment vertical="center"/>
    </xf>
    <xf numFmtId="0" fontId="7" fillId="4" borderId="1" xfId="0" applyFont="1" applyFill="1" applyBorder="1" applyAlignment="1">
      <alignment horizontal="center" vertical="center"/>
    </xf>
    <xf numFmtId="14" fontId="7" fillId="4" borderId="1" xfId="0" applyNumberFormat="1" applyFont="1" applyFill="1" applyBorder="1" applyAlignment="1">
      <alignment horizontal="center" vertical="center"/>
    </xf>
    <xf numFmtId="0" fontId="7" fillId="4" borderId="1" xfId="0" applyFont="1" applyFill="1" applyBorder="1" applyAlignment="1">
      <alignment horizontal="center" vertical="center" wrapText="1"/>
    </xf>
    <xf numFmtId="0" fontId="7" fillId="4" borderId="1" xfId="0" applyFont="1" applyFill="1" applyBorder="1" applyAlignment="1">
      <alignment horizontal="justify" vertical="center" wrapText="1"/>
    </xf>
    <xf numFmtId="0" fontId="8" fillId="4" borderId="1" xfId="0" applyFont="1" applyFill="1" applyBorder="1" applyAlignment="1">
      <alignment horizontal="center" vertical="center"/>
    </xf>
    <xf numFmtId="0" fontId="3" fillId="0" borderId="1" xfId="0" applyFont="1" applyFill="1" applyBorder="1" applyAlignment="1">
      <alignment vertical="center"/>
    </xf>
    <xf numFmtId="14" fontId="8" fillId="4" borderId="1" xfId="0" applyNumberFormat="1" applyFont="1" applyFill="1" applyBorder="1" applyAlignment="1">
      <alignment horizontal="center" vertical="center"/>
    </xf>
    <xf numFmtId="14" fontId="8" fillId="4" borderId="1" xfId="0" applyNumberFormat="1" applyFont="1" applyFill="1" applyBorder="1" applyAlignment="1">
      <alignment vertical="center"/>
    </xf>
    <xf numFmtId="0" fontId="8" fillId="4" borderId="1" xfId="0" applyFont="1" applyFill="1" applyBorder="1" applyAlignment="1">
      <alignment vertical="center" wrapText="1"/>
    </xf>
    <xf numFmtId="0" fontId="8" fillId="3" borderId="1" xfId="0" applyFont="1" applyFill="1" applyBorder="1" applyAlignment="1">
      <alignment horizontal="center" vertical="center"/>
    </xf>
    <xf numFmtId="0" fontId="8" fillId="4" borderId="1" xfId="0" applyFont="1" applyFill="1" applyBorder="1" applyAlignment="1">
      <alignment horizontal="center" vertical="center" wrapText="1"/>
    </xf>
    <xf numFmtId="0" fontId="3" fillId="0" borderId="0" xfId="0" applyFont="1" applyFill="1" applyAlignment="1">
      <alignment horizontal="center" vertical="center"/>
    </xf>
    <xf numFmtId="176" fontId="1" fillId="2" borderId="5" xfId="0" applyNumberFormat="1" applyFont="1" applyFill="1" applyBorder="1" applyAlignment="1">
      <alignment horizontal="center" vertical="center" wrapText="1"/>
    </xf>
    <xf numFmtId="0" fontId="3" fillId="0" borderId="0" xfId="0" applyFont="1" applyFill="1" applyAlignment="1">
      <alignment horizontal="left" vertical="center"/>
    </xf>
    <xf numFmtId="0" fontId="2" fillId="0" borderId="1" xfId="0" applyNumberFormat="1" applyFont="1" applyFill="1" applyBorder="1" applyAlignment="1">
      <alignment horizontal="center" vertical="center" wrapText="1"/>
    </xf>
    <xf numFmtId="176" fontId="2" fillId="0" borderId="1" xfId="0" applyNumberFormat="1" applyFont="1" applyFill="1" applyBorder="1" applyAlignment="1">
      <alignment horizontal="center" vertical="center" wrapText="1"/>
    </xf>
    <xf numFmtId="176" fontId="2" fillId="0" borderId="1" xfId="0" applyNumberFormat="1" applyFont="1" applyFill="1" applyBorder="1" applyAlignment="1">
      <alignment horizontal="left" vertical="center" wrapText="1"/>
    </xf>
    <xf numFmtId="177" fontId="2" fillId="0" borderId="1" xfId="0" applyNumberFormat="1" applyFont="1" applyFill="1" applyBorder="1" applyAlignment="1">
      <alignment horizontal="center" vertical="center" wrapText="1"/>
    </xf>
    <xf numFmtId="177" fontId="2" fillId="0" borderId="5" xfId="0" applyNumberFormat="1" applyFont="1" applyFill="1" applyBorder="1" applyAlignment="1">
      <alignment horizontal="center" vertical="center" wrapText="1"/>
    </xf>
    <xf numFmtId="176" fontId="2" fillId="0" borderId="7" xfId="0" applyNumberFormat="1" applyFont="1" applyFill="1" applyBorder="1" applyAlignment="1">
      <alignment horizontal="center" vertical="center" wrapText="1"/>
    </xf>
    <xf numFmtId="0" fontId="3" fillId="0" borderId="8" xfId="0" applyFont="1" applyFill="1" applyBorder="1" applyAlignment="1">
      <alignment horizontal="left" vertical="center"/>
    </xf>
    <xf numFmtId="0" fontId="3" fillId="0" borderId="2" xfId="0" applyFont="1" applyFill="1" applyBorder="1" applyAlignment="1">
      <alignment horizontal="left" vertical="center"/>
    </xf>
    <xf numFmtId="176" fontId="2" fillId="0" borderId="5" xfId="0" applyNumberFormat="1" applyFont="1" applyFill="1" applyBorder="1" applyAlignment="1">
      <alignment horizontal="center" vertical="center" wrapText="1"/>
    </xf>
    <xf numFmtId="176" fontId="2" fillId="0" borderId="5" xfId="0" applyNumberFormat="1" applyFont="1" applyFill="1" applyBorder="1" applyAlignment="1">
      <alignment horizontal="left" vertical="center" wrapText="1"/>
    </xf>
    <xf numFmtId="176" fontId="2" fillId="4" borderId="5" xfId="0" applyNumberFormat="1" applyFont="1" applyFill="1" applyBorder="1" applyAlignment="1">
      <alignment horizontal="center" vertical="center" wrapText="1"/>
    </xf>
    <xf numFmtId="176" fontId="2" fillId="0" borderId="9" xfId="0" applyNumberFormat="1" applyFont="1" applyFill="1" applyBorder="1" applyAlignment="1">
      <alignment horizontal="center" vertical="center" wrapText="1"/>
    </xf>
    <xf numFmtId="0" fontId="2" fillId="0" borderId="1" xfId="0" applyNumberFormat="1" applyFont="1" applyFill="1" applyBorder="1" applyAlignment="1">
      <alignment horizontal="left" vertical="center" wrapText="1"/>
    </xf>
    <xf numFmtId="14" fontId="2" fillId="0" borderId="1" xfId="0" applyNumberFormat="1" applyFont="1" applyFill="1" applyBorder="1" applyAlignment="1">
      <alignment horizontal="center" vertical="center" wrapText="1"/>
    </xf>
    <xf numFmtId="0" fontId="2" fillId="0" borderId="7" xfId="0" applyNumberFormat="1" applyFont="1" applyFill="1" applyBorder="1" applyAlignment="1">
      <alignment horizontal="center" vertical="center" wrapText="1"/>
    </xf>
    <xf numFmtId="176" fontId="2" fillId="0" borderId="3" xfId="0" applyNumberFormat="1" applyFont="1" applyFill="1" applyBorder="1" applyAlignment="1">
      <alignment horizontal="center" vertical="center" wrapText="1"/>
    </xf>
    <xf numFmtId="0" fontId="4" fillId="0" borderId="3" xfId="0" applyFont="1" applyFill="1" applyBorder="1" applyAlignment="1">
      <alignment horizontal="center" vertical="center"/>
    </xf>
    <xf numFmtId="0" fontId="2" fillId="0" borderId="3" xfId="0" applyNumberFormat="1" applyFont="1" applyFill="1" applyBorder="1" applyAlignment="1">
      <alignment horizontal="left" vertical="center" wrapText="1"/>
    </xf>
    <xf numFmtId="0" fontId="4" fillId="0" borderId="3" xfId="0" applyFont="1" applyFill="1" applyBorder="1" applyAlignment="1">
      <alignment horizontal="left" vertical="center"/>
    </xf>
    <xf numFmtId="177" fontId="4" fillId="0" borderId="3" xfId="0" applyNumberFormat="1" applyFont="1" applyFill="1" applyBorder="1" applyAlignment="1">
      <alignment horizontal="center" vertical="center"/>
    </xf>
    <xf numFmtId="14" fontId="4" fillId="0" borderId="3" xfId="0" applyNumberFormat="1" applyFont="1" applyFill="1" applyBorder="1" applyAlignment="1">
      <alignment horizontal="center" vertical="center"/>
    </xf>
    <xf numFmtId="0" fontId="4" fillId="0" borderId="10" xfId="0" applyFont="1" applyFill="1" applyBorder="1" applyAlignment="1">
      <alignment horizontal="center" vertical="center"/>
    </xf>
    <xf numFmtId="14" fontId="4" fillId="0" borderId="1" xfId="0" applyNumberFormat="1" applyFont="1" applyFill="1" applyBorder="1" applyAlignment="1">
      <alignment horizontal="center" vertical="center"/>
    </xf>
    <xf numFmtId="0" fontId="4" fillId="0" borderId="3" xfId="0" applyFont="1" applyFill="1" applyBorder="1" applyAlignment="1">
      <alignment horizontal="center" vertical="center" wrapText="1"/>
    </xf>
    <xf numFmtId="176" fontId="2" fillId="0" borderId="2" xfId="0" applyNumberFormat="1" applyFont="1" applyFill="1" applyBorder="1" applyAlignment="1">
      <alignment horizontal="left" vertical="center" wrapText="1"/>
    </xf>
    <xf numFmtId="0" fontId="4" fillId="0" borderId="3" xfId="0" applyFont="1" applyFill="1" applyBorder="1" applyAlignment="1">
      <alignment horizontal="left" vertical="center" wrapText="1"/>
    </xf>
    <xf numFmtId="0" fontId="2" fillId="0" borderId="5" xfId="0" applyNumberFormat="1" applyFont="1" applyFill="1" applyBorder="1" applyAlignment="1">
      <alignment horizontal="center" vertical="center" wrapText="1"/>
    </xf>
    <xf numFmtId="0" fontId="4" fillId="0" borderId="5" xfId="0" applyFont="1" applyFill="1" applyBorder="1" applyAlignment="1">
      <alignment horizontal="center" vertical="center"/>
    </xf>
    <xf numFmtId="0" fontId="4" fillId="0" borderId="5" xfId="0" applyFont="1" applyFill="1" applyBorder="1" applyAlignment="1">
      <alignment horizontal="left" vertical="center"/>
    </xf>
    <xf numFmtId="0" fontId="4" fillId="0" borderId="5" xfId="0" applyFont="1" applyFill="1" applyBorder="1" applyAlignment="1">
      <alignment horizontal="left" vertical="center" wrapText="1"/>
    </xf>
    <xf numFmtId="177" fontId="4" fillId="0" borderId="5" xfId="0" applyNumberFormat="1" applyFont="1" applyFill="1" applyBorder="1" applyAlignment="1">
      <alignment horizontal="center" vertical="center"/>
    </xf>
    <xf numFmtId="0" fontId="4" fillId="0" borderId="1" xfId="0" applyFont="1" applyFill="1" applyBorder="1" applyAlignment="1">
      <alignment horizontal="center" vertical="center"/>
    </xf>
    <xf numFmtId="0" fontId="4" fillId="0" borderId="1" xfId="0" applyFont="1" applyFill="1" applyBorder="1" applyAlignment="1">
      <alignment horizontal="left" vertical="center"/>
    </xf>
    <xf numFmtId="0" fontId="4" fillId="0" borderId="1" xfId="0" applyFont="1" applyFill="1" applyBorder="1" applyAlignment="1">
      <alignment horizontal="left" vertical="center" wrapText="1"/>
    </xf>
    <xf numFmtId="177" fontId="4" fillId="0" borderId="1" xfId="0" applyNumberFormat="1" applyFont="1" applyFill="1" applyBorder="1" applyAlignment="1">
      <alignment horizontal="center" vertical="center"/>
    </xf>
    <xf numFmtId="0" fontId="4" fillId="0" borderId="11" xfId="0" applyFont="1" applyFill="1" applyBorder="1" applyAlignment="1">
      <alignment horizontal="center" vertical="center"/>
    </xf>
    <xf numFmtId="0" fontId="3" fillId="0" borderId="4" xfId="0" applyFont="1" applyFill="1" applyBorder="1" applyAlignment="1">
      <alignment horizontal="left" vertical="center"/>
    </xf>
    <xf numFmtId="0" fontId="9" fillId="0" borderId="0" xfId="0" applyFont="1" applyFill="1" applyAlignment="1">
      <alignment vertical="center"/>
    </xf>
    <xf numFmtId="0" fontId="1" fillId="2" borderId="5" xfId="0" applyNumberFormat="1" applyFont="1" applyFill="1" applyBorder="1" applyAlignment="1">
      <alignment horizontal="center" vertical="center" wrapText="1"/>
    </xf>
    <xf numFmtId="177" fontId="1" fillId="2" borderId="5" xfId="0" applyNumberFormat="1" applyFont="1" applyFill="1" applyBorder="1" applyAlignment="1">
      <alignment horizontal="center" vertical="center" wrapText="1"/>
    </xf>
    <xf numFmtId="176" fontId="1" fillId="2" borderId="5" xfId="0" applyNumberFormat="1" applyFont="1" applyFill="1" applyBorder="1" applyAlignment="1">
      <alignment horizontal="center" vertical="center"/>
    </xf>
    <xf numFmtId="176" fontId="1" fillId="2" borderId="6" xfId="0" applyNumberFormat="1" applyFont="1" applyFill="1" applyBorder="1" applyAlignment="1">
      <alignment horizontal="center" vertical="center" wrapText="1"/>
    </xf>
    <xf numFmtId="0" fontId="3" fillId="2" borderId="0" xfId="0" applyFont="1" applyFill="1" applyAlignment="1">
      <alignment horizontal="center" vertical="center"/>
    </xf>
    <xf numFmtId="0" fontId="9" fillId="0" borderId="1" xfId="0" applyFont="1" applyFill="1" applyBorder="1" applyAlignment="1">
      <alignment horizontal="center" vertical="center"/>
    </xf>
    <xf numFmtId="0" fontId="10" fillId="0" borderId="1" xfId="0" applyFont="1" applyFill="1" applyBorder="1" applyAlignment="1">
      <alignment horizontal="center" vertical="center"/>
    </xf>
    <xf numFmtId="0" fontId="10" fillId="0" borderId="1" xfId="0" applyFont="1" applyFill="1" applyBorder="1" applyAlignment="1">
      <alignment horizontal="left" vertical="center"/>
    </xf>
    <xf numFmtId="178" fontId="10" fillId="0" borderId="1" xfId="0" applyNumberFormat="1" applyFont="1" applyFill="1" applyBorder="1" applyAlignment="1">
      <alignment horizontal="center" vertical="center"/>
    </xf>
    <xf numFmtId="0" fontId="9" fillId="0" borderId="0" xfId="0" applyFont="1" applyFill="1" applyAlignment="1">
      <alignment horizontal="center" vertical="center"/>
    </xf>
    <xf numFmtId="0" fontId="11" fillId="0" borderId="1" xfId="0" applyFont="1" applyFill="1" applyBorder="1" applyAlignment="1">
      <alignment horizontal="center" vertical="center"/>
    </xf>
    <xf numFmtId="0" fontId="9" fillId="0" borderId="0" xfId="0" applyFont="1" applyFill="1" applyAlignment="1">
      <alignment horizontal="center" vertical="center" wrapText="1"/>
    </xf>
    <xf numFmtId="0" fontId="12" fillId="0" borderId="1" xfId="0" applyFont="1" applyFill="1" applyBorder="1" applyAlignment="1">
      <alignment horizontal="center" vertical="center"/>
    </xf>
    <xf numFmtId="0" fontId="13" fillId="0" borderId="1" xfId="0" applyFont="1" applyFill="1" applyBorder="1" applyAlignment="1">
      <alignment horizontal="center" vertical="center"/>
    </xf>
    <xf numFmtId="178" fontId="13" fillId="0" borderId="1" xfId="0" applyNumberFormat="1" applyFont="1" applyFill="1" applyBorder="1" applyAlignment="1">
      <alignment horizontal="center" vertical="center"/>
    </xf>
    <xf numFmtId="0" fontId="14" fillId="0"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0" borderId="1" xfId="0" applyFont="1" applyFill="1" applyBorder="1" applyAlignment="1">
      <alignment horizontal="center" vertical="center"/>
    </xf>
    <xf numFmtId="14" fontId="15" fillId="0" borderId="1" xfId="0" applyNumberFormat="1" applyFont="1" applyFill="1" applyBorder="1" applyAlignment="1">
      <alignment horizontal="center" vertical="center"/>
    </xf>
    <xf numFmtId="0" fontId="16" fillId="2" borderId="1" xfId="0" applyNumberFormat="1" applyFont="1" applyFill="1" applyBorder="1" applyAlignment="1">
      <alignment horizontal="center" vertical="center" wrapText="1"/>
    </xf>
    <xf numFmtId="176" fontId="16" fillId="2" borderId="1" xfId="0" applyNumberFormat="1" applyFont="1" applyFill="1" applyBorder="1" applyAlignment="1">
      <alignment horizontal="center" vertical="center" wrapText="1"/>
    </xf>
    <xf numFmtId="176" fontId="16" fillId="2" borderId="1" xfId="0" applyNumberFormat="1" applyFont="1" applyFill="1" applyBorder="1" applyAlignment="1">
      <alignment horizontal="left" vertical="center" wrapText="1"/>
    </xf>
    <xf numFmtId="176" fontId="16" fillId="6" borderId="1" xfId="0" applyNumberFormat="1" applyFont="1" applyFill="1" applyBorder="1" applyAlignment="1">
      <alignment horizontal="center" vertical="center" wrapText="1"/>
    </xf>
    <xf numFmtId="176" fontId="4" fillId="7" borderId="1" xfId="0" applyNumberFormat="1" applyFont="1" applyFill="1" applyBorder="1" applyAlignment="1">
      <alignment horizontal="center" vertical="center" wrapText="1"/>
    </xf>
    <xf numFmtId="176" fontId="4" fillId="7" borderId="1" xfId="0" applyNumberFormat="1" applyFont="1" applyFill="1" applyBorder="1" applyAlignment="1">
      <alignment horizontal="center" vertical="center"/>
    </xf>
    <xf numFmtId="176" fontId="16" fillId="2" borderId="1" xfId="0" applyNumberFormat="1" applyFont="1" applyFill="1" applyBorder="1" applyAlignment="1">
      <alignment horizontal="center" vertical="center"/>
    </xf>
    <xf numFmtId="0" fontId="17" fillId="0" borderId="1" xfId="0" applyNumberFormat="1" applyFont="1" applyFill="1" applyBorder="1" applyAlignment="1">
      <alignment horizontal="center" vertical="center" wrapText="1"/>
    </xf>
    <xf numFmtId="0" fontId="17" fillId="0" borderId="1" xfId="0" applyFont="1" applyFill="1" applyBorder="1" applyAlignment="1">
      <alignment horizontal="left" vertical="center" wrapText="1"/>
    </xf>
    <xf numFmtId="14" fontId="18" fillId="0" borderId="3" xfId="0" applyNumberFormat="1" applyFont="1" applyFill="1" applyBorder="1" applyAlignment="1">
      <alignment horizontal="center" vertical="center"/>
    </xf>
    <xf numFmtId="14" fontId="18" fillId="0" borderId="1" xfId="0" applyNumberFormat="1" applyFont="1" applyFill="1" applyBorder="1" applyAlignment="1">
      <alignment horizontal="center" vertical="center"/>
    </xf>
    <xf numFmtId="179" fontId="17" fillId="0" borderId="1" xfId="0" applyNumberFormat="1" applyFont="1" applyFill="1" applyBorder="1" applyAlignment="1">
      <alignment horizontal="center" vertical="center" wrapText="1"/>
    </xf>
    <xf numFmtId="0" fontId="17" fillId="0" borderId="1" xfId="0" applyFont="1" applyFill="1" applyBorder="1" applyAlignment="1">
      <alignment horizontal="center" vertical="center" wrapText="1"/>
    </xf>
    <xf numFmtId="176" fontId="17" fillId="0" borderId="1" xfId="0" applyNumberFormat="1" applyFont="1" applyFill="1" applyBorder="1" applyAlignment="1">
      <alignment horizontal="center" vertical="center" wrapText="1"/>
    </xf>
    <xf numFmtId="176" fontId="17" fillId="4" borderId="1" xfId="0" applyNumberFormat="1" applyFont="1" applyFill="1" applyBorder="1" applyAlignment="1">
      <alignment horizontal="center" vertical="center" wrapText="1"/>
    </xf>
    <xf numFmtId="176" fontId="17" fillId="0" borderId="2" xfId="0" applyNumberFormat="1" applyFont="1" applyFill="1" applyBorder="1" applyAlignment="1">
      <alignment horizontal="center" vertical="center" wrapText="1"/>
    </xf>
    <xf numFmtId="0" fontId="18" fillId="0" borderId="1" xfId="0" applyFont="1" applyFill="1" applyBorder="1" applyAlignment="1">
      <alignment horizontal="center" vertical="center"/>
    </xf>
    <xf numFmtId="0" fontId="18" fillId="0" borderId="2" xfId="0" applyFont="1" applyFill="1" applyBorder="1" applyAlignment="1">
      <alignment horizontal="center" vertical="center"/>
    </xf>
    <xf numFmtId="0" fontId="17" fillId="0" borderId="5" xfId="0" applyFont="1" applyFill="1" applyBorder="1" applyAlignment="1">
      <alignment horizontal="left" vertical="center" wrapText="1"/>
    </xf>
    <xf numFmtId="14" fontId="18" fillId="0" borderId="5" xfId="0" applyNumberFormat="1" applyFont="1" applyFill="1" applyBorder="1" applyAlignment="1">
      <alignment horizontal="center" vertical="center"/>
    </xf>
    <xf numFmtId="0" fontId="18" fillId="0" borderId="5" xfId="0" applyFont="1" applyFill="1" applyBorder="1" applyAlignment="1">
      <alignment horizontal="center" vertical="center"/>
    </xf>
    <xf numFmtId="0" fontId="17" fillId="0" borderId="2" xfId="0" applyFont="1" applyFill="1" applyBorder="1" applyAlignment="1">
      <alignment horizontal="center" vertical="center" wrapText="1"/>
    </xf>
    <xf numFmtId="0" fontId="18" fillId="0" borderId="12" xfId="0" applyFont="1" applyFill="1" applyBorder="1" applyAlignment="1">
      <alignment horizontal="center" vertical="center"/>
    </xf>
    <xf numFmtId="0" fontId="12" fillId="0" borderId="1" xfId="0" applyNumberFormat="1" applyFont="1" applyFill="1" applyBorder="1" applyAlignment="1">
      <alignment horizontal="center" vertical="center" wrapText="1"/>
    </xf>
    <xf numFmtId="0" fontId="12" fillId="0" borderId="1" xfId="0" applyFont="1" applyFill="1" applyBorder="1" applyAlignment="1">
      <alignment horizontal="left" vertical="center" wrapText="1"/>
    </xf>
    <xf numFmtId="14" fontId="3" fillId="0" borderId="3" xfId="0" applyNumberFormat="1" applyFont="1" applyFill="1" applyBorder="1" applyAlignment="1">
      <alignment horizontal="center" vertical="center"/>
    </xf>
    <xf numFmtId="14" fontId="3" fillId="0" borderId="1" xfId="0" applyNumberFormat="1" applyFont="1" applyFill="1" applyBorder="1" applyAlignment="1">
      <alignment horizontal="center" vertical="center"/>
    </xf>
    <xf numFmtId="0" fontId="3" fillId="0" borderId="1" xfId="0" applyFont="1" applyFill="1" applyBorder="1" applyAlignment="1">
      <alignment horizontal="center" vertical="center" wrapText="1"/>
    </xf>
    <xf numFmtId="0" fontId="12" fillId="0" borderId="5" xfId="0" applyFont="1" applyFill="1" applyBorder="1" applyAlignment="1">
      <alignment horizontal="left" vertical="center" wrapText="1"/>
    </xf>
    <xf numFmtId="14" fontId="3" fillId="0" borderId="5" xfId="0" applyNumberFormat="1" applyFont="1" applyFill="1" applyBorder="1" applyAlignment="1">
      <alignment horizontal="center" vertical="center"/>
    </xf>
    <xf numFmtId="0" fontId="3" fillId="0" borderId="5" xfId="0" applyFont="1" applyFill="1" applyBorder="1" applyAlignment="1">
      <alignment horizontal="center" vertical="center"/>
    </xf>
    <xf numFmtId="0" fontId="3" fillId="0" borderId="12" xfId="0" applyFont="1" applyFill="1" applyBorder="1" applyAlignment="1">
      <alignment horizontal="center" vertical="center"/>
    </xf>
    <xf numFmtId="0" fontId="3" fillId="0" borderId="1" xfId="0" applyFont="1" applyFill="1" applyBorder="1" applyAlignment="1">
      <alignment horizontal="left" vertical="center"/>
    </xf>
    <xf numFmtId="0" fontId="19" fillId="8"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0" fontId="3" fillId="0" borderId="3" xfId="0" applyFont="1" applyFill="1" applyBorder="1" applyAlignment="1">
      <alignment horizontal="center" vertical="center"/>
    </xf>
    <xf numFmtId="0" fontId="20" fillId="0" borderId="1" xfId="0" applyFont="1" applyFill="1" applyBorder="1" applyAlignment="1">
      <alignment horizontal="center" vertical="center" wrapText="1"/>
    </xf>
    <xf numFmtId="178" fontId="21" fillId="0" borderId="1" xfId="0" applyNumberFormat="1" applyFont="1" applyFill="1" applyBorder="1" applyAlignment="1">
      <alignment horizontal="center" vertical="center" wrapText="1"/>
    </xf>
    <xf numFmtId="0" fontId="20" fillId="0" borderId="1" xfId="0" applyFont="1" applyFill="1" applyBorder="1" applyAlignment="1">
      <alignment horizontal="left" vertical="center" wrapText="1"/>
    </xf>
    <xf numFmtId="0" fontId="22" fillId="3" borderId="1" xfId="0" applyFont="1" applyFill="1" applyBorder="1" applyAlignment="1">
      <alignment horizontal="center" vertical="center"/>
    </xf>
    <xf numFmtId="0" fontId="22" fillId="0" borderId="1" xfId="0" applyFont="1" applyFill="1" applyBorder="1" applyAlignment="1">
      <alignment horizontal="center" vertical="center"/>
    </xf>
    <xf numFmtId="179" fontId="2" fillId="0" borderId="1"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
  <sheetViews>
    <sheetView workbookViewId="0">
      <selection activeCell="A1" sqref="$A1:$XFD10"/>
    </sheetView>
  </sheetViews>
  <sheetFormatPr defaultColWidth="9" defaultRowHeight="13.5"/>
  <sheetData>
    <row r="1" s="29" customFormat="1" ht="27" customHeight="1" spans="1:14">
      <c r="A1" s="1" t="s">
        <v>0</v>
      </c>
      <c r="B1" s="2" t="s">
        <v>1</v>
      </c>
      <c r="C1" s="2" t="s">
        <v>2</v>
      </c>
      <c r="D1" s="2" t="s">
        <v>3</v>
      </c>
      <c r="E1" s="2" t="s">
        <v>4</v>
      </c>
      <c r="F1" s="2" t="s">
        <v>5</v>
      </c>
      <c r="G1" s="3" t="s">
        <v>6</v>
      </c>
      <c r="H1" s="2" t="s">
        <v>7</v>
      </c>
      <c r="I1" s="2" t="s">
        <v>8</v>
      </c>
      <c r="J1" s="4" t="s">
        <v>9</v>
      </c>
      <c r="K1" s="4" t="s">
        <v>10</v>
      </c>
      <c r="L1" s="4" t="s">
        <v>11</v>
      </c>
      <c r="M1" s="2" t="s">
        <v>12</v>
      </c>
      <c r="N1" s="2" t="s">
        <v>13</v>
      </c>
    </row>
    <row r="2" s="29" customFormat="1" ht="27" customHeight="1" spans="1:14">
      <c r="A2" s="52">
        <f t="shared" ref="A2:A10" si="0">ROW()-1</f>
        <v>1</v>
      </c>
      <c r="B2" s="53" t="s">
        <v>14</v>
      </c>
      <c r="C2" s="53" t="s">
        <v>15</v>
      </c>
      <c r="D2" s="54" t="s">
        <v>16</v>
      </c>
      <c r="E2" s="54" t="s">
        <v>17</v>
      </c>
      <c r="F2" s="54" t="s">
        <v>18</v>
      </c>
      <c r="G2" s="55">
        <v>45786</v>
      </c>
      <c r="H2" s="150" t="s">
        <v>19</v>
      </c>
      <c r="I2" s="53" t="s">
        <v>20</v>
      </c>
      <c r="J2" s="53" t="s">
        <v>21</v>
      </c>
      <c r="K2" s="53"/>
      <c r="L2" s="53"/>
      <c r="M2" s="53" t="s">
        <v>22</v>
      </c>
      <c r="N2" s="11" t="s">
        <v>23</v>
      </c>
    </row>
    <row r="3" s="29" customFormat="1" ht="31" customHeight="1" spans="1:14">
      <c r="A3" s="52">
        <f t="shared" si="0"/>
        <v>2</v>
      </c>
      <c r="B3" s="53" t="s">
        <v>14</v>
      </c>
      <c r="C3" s="53" t="s">
        <v>24</v>
      </c>
      <c r="D3" s="54" t="s">
        <v>25</v>
      </c>
      <c r="E3" s="54" t="s">
        <v>26</v>
      </c>
      <c r="F3" s="54" t="s">
        <v>18</v>
      </c>
      <c r="G3" s="55">
        <v>45841</v>
      </c>
      <c r="H3" s="55">
        <v>45869</v>
      </c>
      <c r="I3" s="53" t="s">
        <v>20</v>
      </c>
      <c r="J3" s="53" t="s">
        <v>21</v>
      </c>
      <c r="K3" s="53" t="s">
        <v>27</v>
      </c>
      <c r="L3" s="53"/>
      <c r="M3" s="53" t="s">
        <v>22</v>
      </c>
      <c r="N3" s="11" t="s">
        <v>23</v>
      </c>
    </row>
    <row r="4" s="29" customFormat="1" ht="39" customHeight="1" spans="1:14">
      <c r="A4" s="52">
        <f t="shared" si="0"/>
        <v>3</v>
      </c>
      <c r="B4" s="53" t="s">
        <v>14</v>
      </c>
      <c r="C4" s="53" t="s">
        <v>28</v>
      </c>
      <c r="D4" s="54" t="s">
        <v>29</v>
      </c>
      <c r="E4" s="54" t="s">
        <v>30</v>
      </c>
      <c r="F4" s="54" t="s">
        <v>31</v>
      </c>
      <c r="G4" s="55">
        <v>45847</v>
      </c>
      <c r="H4" s="55">
        <v>45858</v>
      </c>
      <c r="I4" s="53" t="s">
        <v>32</v>
      </c>
      <c r="J4" s="53" t="s">
        <v>33</v>
      </c>
      <c r="K4" s="53" t="s">
        <v>34</v>
      </c>
      <c r="L4" s="53"/>
      <c r="M4" s="53" t="s">
        <v>19</v>
      </c>
      <c r="N4" s="11" t="s">
        <v>23</v>
      </c>
    </row>
    <row r="5" s="29" customFormat="1" ht="39" customHeight="1" spans="1:14">
      <c r="A5" s="52">
        <f t="shared" si="0"/>
        <v>4</v>
      </c>
      <c r="B5" s="53" t="s">
        <v>35</v>
      </c>
      <c r="C5" s="53" t="s">
        <v>24</v>
      </c>
      <c r="D5" s="54" t="s">
        <v>36</v>
      </c>
      <c r="E5" s="54" t="s">
        <v>37</v>
      </c>
      <c r="F5" s="54" t="s">
        <v>18</v>
      </c>
      <c r="G5" s="55">
        <v>46122</v>
      </c>
      <c r="H5" s="55">
        <v>46152</v>
      </c>
      <c r="I5" s="53" t="s">
        <v>20</v>
      </c>
      <c r="J5" s="53" t="s">
        <v>21</v>
      </c>
      <c r="K5" s="53" t="s">
        <v>38</v>
      </c>
      <c r="L5" s="53" t="s">
        <v>19</v>
      </c>
      <c r="M5" s="53" t="s">
        <v>19</v>
      </c>
      <c r="N5" s="11" t="s">
        <v>23</v>
      </c>
    </row>
    <row r="6" s="29" customFormat="1" ht="39" customHeight="1" spans="1:14">
      <c r="A6" s="52">
        <f t="shared" si="0"/>
        <v>5</v>
      </c>
      <c r="B6" s="53" t="s">
        <v>35</v>
      </c>
      <c r="C6" s="53" t="s">
        <v>39</v>
      </c>
      <c r="D6" s="54" t="s">
        <v>40</v>
      </c>
      <c r="E6" s="54" t="s">
        <v>41</v>
      </c>
      <c r="F6" s="54" t="s">
        <v>31</v>
      </c>
      <c r="G6" s="55">
        <v>46148</v>
      </c>
      <c r="H6" s="55">
        <v>46162</v>
      </c>
      <c r="I6" s="53" t="s">
        <v>42</v>
      </c>
      <c r="J6" s="53" t="s">
        <v>43</v>
      </c>
      <c r="K6" s="53"/>
      <c r="L6" s="53"/>
      <c r="M6" s="53"/>
      <c r="N6" s="11"/>
    </row>
    <row r="7" s="29" customFormat="1" ht="39" customHeight="1" spans="1:14">
      <c r="A7" s="52">
        <f t="shared" si="0"/>
        <v>6</v>
      </c>
      <c r="B7" s="53" t="s">
        <v>35</v>
      </c>
      <c r="C7" s="53" t="s">
        <v>44</v>
      </c>
      <c r="D7" s="54" t="s">
        <v>45</v>
      </c>
      <c r="E7" s="54" t="s">
        <v>46</v>
      </c>
      <c r="F7" s="54" t="s">
        <v>47</v>
      </c>
      <c r="G7" s="55">
        <v>46174</v>
      </c>
      <c r="H7" s="55">
        <v>46191</v>
      </c>
      <c r="I7" s="53" t="s">
        <v>48</v>
      </c>
      <c r="J7" s="53" t="s">
        <v>49</v>
      </c>
      <c r="K7" s="53"/>
      <c r="L7" s="53"/>
      <c r="M7" s="53"/>
      <c r="N7" s="11"/>
    </row>
    <row r="8" s="29" customFormat="1" ht="39" customHeight="1" spans="1:14">
      <c r="A8" s="52">
        <f t="shared" si="0"/>
        <v>7</v>
      </c>
      <c r="B8" s="53" t="s">
        <v>35</v>
      </c>
      <c r="C8" s="53" t="s">
        <v>39</v>
      </c>
      <c r="D8" s="54" t="s">
        <v>50</v>
      </c>
      <c r="E8" s="54" t="s">
        <v>51</v>
      </c>
      <c r="F8" s="54" t="s">
        <v>52</v>
      </c>
      <c r="G8" s="55">
        <v>46184</v>
      </c>
      <c r="H8" s="55">
        <v>46205</v>
      </c>
      <c r="I8" s="53" t="s">
        <v>20</v>
      </c>
      <c r="J8" s="53" t="s">
        <v>21</v>
      </c>
      <c r="K8" s="53"/>
      <c r="L8" s="53"/>
      <c r="M8" s="53"/>
      <c r="N8" s="11"/>
    </row>
    <row r="9" s="29" customFormat="1" ht="39" customHeight="1" spans="1:14">
      <c r="A9" s="52">
        <f t="shared" si="0"/>
        <v>8</v>
      </c>
      <c r="B9" s="53" t="s">
        <v>35</v>
      </c>
      <c r="C9" s="53" t="s">
        <v>53</v>
      </c>
      <c r="D9" s="54" t="s">
        <v>54</v>
      </c>
      <c r="E9" s="54" t="s">
        <v>55</v>
      </c>
      <c r="F9" s="54" t="s">
        <v>56</v>
      </c>
      <c r="G9" s="55">
        <v>46197</v>
      </c>
      <c r="H9" s="55">
        <v>46218</v>
      </c>
      <c r="I9" s="53" t="s">
        <v>57</v>
      </c>
      <c r="J9" s="53" t="s">
        <v>58</v>
      </c>
      <c r="K9" s="53"/>
      <c r="L9" s="53"/>
      <c r="M9" s="53"/>
      <c r="N9" s="11"/>
    </row>
    <row r="10" s="29" customFormat="1" ht="39" customHeight="1" spans="1:14">
      <c r="A10" s="52">
        <f t="shared" si="0"/>
        <v>9</v>
      </c>
      <c r="B10" s="53" t="s">
        <v>59</v>
      </c>
      <c r="C10" s="53" t="s">
        <v>60</v>
      </c>
      <c r="D10" s="54" t="s">
        <v>61</v>
      </c>
      <c r="E10" s="54" t="s">
        <v>62</v>
      </c>
      <c r="F10" s="54" t="s">
        <v>63</v>
      </c>
      <c r="G10" s="55">
        <v>46213</v>
      </c>
      <c r="H10" s="55">
        <v>46226</v>
      </c>
      <c r="I10" s="53" t="s">
        <v>64</v>
      </c>
      <c r="J10" s="53" t="s">
        <v>65</v>
      </c>
      <c r="K10" s="53" t="s">
        <v>66</v>
      </c>
      <c r="L10" s="53" t="s">
        <v>67</v>
      </c>
      <c r="M10" s="53" t="s">
        <v>68</v>
      </c>
      <c r="N10" s="11"/>
    </row>
  </sheetData>
  <dataValidations count="2">
    <dataValidation type="list" allowBlank="1" showInputMessage="1" showErrorMessage="1" sqref="F10">
      <formula1>"临时用电,起重吊装,脚手架及平台,交通运输,高处作业,孔洞临边防护,劳动防护,人员行为,环境保护,危化品管理,职业健康,物项存放,文明施工,机械器具,消防与动火,无证作业,其他,有限空间作业,射线探伤作业,班组建设,应急"</formula1>
    </dataValidation>
    <dataValidation type="list" allowBlank="1" showInputMessage="1" showErrorMessage="1" sqref="F2:F9">
      <formula1>"临时用电,起重吊装,脚手架及平台,高处作业,孔洞临边防护,劳动防护,人员行为,环境保护,危化品管理,职业健康,物项存放,文明施工,机械器具,消防与动火,无证作业,其他,有限空间作业,射线探伤作业,班组建设,应急,交通运输,安全通道,作业交底,施工方案"</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2"/>
  <sheetViews>
    <sheetView workbookViewId="0">
      <selection activeCell="A1" sqref="$A1:$XFD42"/>
    </sheetView>
  </sheetViews>
  <sheetFormatPr defaultColWidth="9" defaultRowHeight="13.5"/>
  <sheetData>
    <row r="1" s="29" customFormat="1" ht="46" customHeight="1" spans="1:12">
      <c r="A1" s="142" t="s">
        <v>0</v>
      </c>
      <c r="B1" s="142" t="s">
        <v>69</v>
      </c>
      <c r="C1" s="142" t="s">
        <v>6</v>
      </c>
      <c r="D1" s="142" t="s">
        <v>9</v>
      </c>
      <c r="E1" s="142" t="s">
        <v>8</v>
      </c>
      <c r="F1" s="142" t="s">
        <v>70</v>
      </c>
      <c r="G1" s="142" t="s">
        <v>71</v>
      </c>
      <c r="H1" s="142" t="s">
        <v>72</v>
      </c>
      <c r="I1" s="142" t="s">
        <v>73</v>
      </c>
      <c r="J1" s="142" t="s">
        <v>74</v>
      </c>
      <c r="K1" s="142" t="s">
        <v>75</v>
      </c>
      <c r="L1" s="142" t="s">
        <v>76</v>
      </c>
    </row>
    <row r="2" s="29" customFormat="1" ht="67" customHeight="1" spans="1:12">
      <c r="A2" s="107">
        <v>1</v>
      </c>
      <c r="B2" s="107"/>
      <c r="C2" s="135">
        <v>45664</v>
      </c>
      <c r="D2" s="107" t="s">
        <v>77</v>
      </c>
      <c r="E2" s="135" t="s">
        <v>78</v>
      </c>
      <c r="F2" s="107"/>
      <c r="G2" s="107"/>
      <c r="H2" s="107"/>
      <c r="I2" s="143" t="s">
        <v>79</v>
      </c>
      <c r="J2" s="107" t="s">
        <v>80</v>
      </c>
      <c r="K2" s="107"/>
    </row>
    <row r="3" s="29" customFormat="1" ht="67" customHeight="1" spans="1:12">
      <c r="A3" s="107">
        <v>2</v>
      </c>
      <c r="B3" s="107"/>
      <c r="C3" s="135">
        <v>45671</v>
      </c>
      <c r="D3" s="107" t="s">
        <v>81</v>
      </c>
      <c r="E3" s="135" t="s">
        <v>78</v>
      </c>
      <c r="F3" s="107"/>
      <c r="G3" s="107"/>
      <c r="H3" s="107"/>
      <c r="I3" s="143" t="s">
        <v>82</v>
      </c>
      <c r="J3" s="107" t="s">
        <v>80</v>
      </c>
      <c r="K3" s="107"/>
    </row>
    <row r="4" s="29" customFormat="1" ht="67" customHeight="1" spans="1:12">
      <c r="A4" s="107">
        <v>3</v>
      </c>
      <c r="B4" s="107"/>
      <c r="C4" s="135">
        <v>45714</v>
      </c>
      <c r="D4" s="107" t="s">
        <v>83</v>
      </c>
      <c r="E4" s="135" t="s">
        <v>78</v>
      </c>
      <c r="F4" s="107"/>
      <c r="G4" s="107"/>
      <c r="H4" s="107"/>
      <c r="I4" s="143" t="s">
        <v>84</v>
      </c>
      <c r="J4" s="107" t="s">
        <v>80</v>
      </c>
      <c r="K4" s="107"/>
    </row>
    <row r="5" s="29" customFormat="1" ht="67" customHeight="1" spans="1:12">
      <c r="A5" s="107">
        <v>4</v>
      </c>
      <c r="B5" s="144"/>
      <c r="C5" s="135">
        <v>45842</v>
      </c>
      <c r="D5" s="107" t="s">
        <v>85</v>
      </c>
      <c r="E5" s="135" t="s">
        <v>48</v>
      </c>
      <c r="F5" s="107"/>
      <c r="G5" s="107"/>
      <c r="H5" s="107"/>
      <c r="I5" s="143" t="s">
        <v>86</v>
      </c>
      <c r="J5" s="107" t="s">
        <v>80</v>
      </c>
      <c r="K5" s="107"/>
    </row>
    <row r="6" s="29" customFormat="1" ht="67" customHeight="1" spans="1:12">
      <c r="A6" s="107">
        <v>5</v>
      </c>
      <c r="B6" s="49"/>
      <c r="C6" s="135">
        <v>45902</v>
      </c>
      <c r="D6" s="107" t="s">
        <v>87</v>
      </c>
      <c r="E6" s="135" t="s">
        <v>57</v>
      </c>
      <c r="F6" s="107"/>
      <c r="G6" s="107"/>
      <c r="H6" s="107"/>
      <c r="I6" s="143" t="s">
        <v>88</v>
      </c>
      <c r="J6" s="107" t="s">
        <v>80</v>
      </c>
      <c r="K6" s="107"/>
    </row>
    <row r="7" s="29" customFormat="1" ht="67" customHeight="1" spans="1:12">
      <c r="A7" s="107">
        <v>6</v>
      </c>
      <c r="B7" s="49"/>
      <c r="C7" s="135">
        <v>45910</v>
      </c>
      <c r="D7" s="107" t="s">
        <v>89</v>
      </c>
      <c r="E7" s="135" t="s">
        <v>57</v>
      </c>
      <c r="F7" s="107"/>
      <c r="G7" s="107"/>
      <c r="H7" s="107"/>
      <c r="I7" s="143" t="s">
        <v>90</v>
      </c>
      <c r="J7" s="107" t="s">
        <v>80</v>
      </c>
      <c r="K7" s="107"/>
    </row>
    <row r="8" s="29" customFormat="1" ht="67" customHeight="1" spans="1:12">
      <c r="A8" s="107">
        <v>7</v>
      </c>
      <c r="B8" s="49"/>
      <c r="C8" s="135">
        <v>45957</v>
      </c>
      <c r="D8" s="107" t="s">
        <v>91</v>
      </c>
      <c r="E8" s="135" t="s">
        <v>20</v>
      </c>
      <c r="F8" s="107"/>
      <c r="G8" s="107"/>
      <c r="H8" s="107"/>
      <c r="I8" s="143" t="s">
        <v>92</v>
      </c>
      <c r="J8" s="107" t="s">
        <v>80</v>
      </c>
      <c r="K8" s="107"/>
    </row>
    <row r="9" s="29" customFormat="1" ht="67" customHeight="1" spans="1:12">
      <c r="A9" s="107">
        <v>8</v>
      </c>
      <c r="B9" s="49"/>
      <c r="C9" s="135">
        <v>45959</v>
      </c>
      <c r="D9" s="107" t="s">
        <v>93</v>
      </c>
      <c r="E9" s="135" t="s">
        <v>94</v>
      </c>
      <c r="F9" s="107"/>
      <c r="G9" s="107"/>
      <c r="H9" s="107"/>
      <c r="I9" s="143" t="s">
        <v>95</v>
      </c>
      <c r="J9" s="107" t="s">
        <v>80</v>
      </c>
      <c r="K9" s="107"/>
    </row>
    <row r="10" s="29" customFormat="1" ht="67" customHeight="1" spans="1:12">
      <c r="A10" s="107">
        <v>9</v>
      </c>
      <c r="B10" s="49"/>
      <c r="C10" s="135">
        <v>45959</v>
      </c>
      <c r="D10" s="107" t="s">
        <v>96</v>
      </c>
      <c r="E10" s="135" t="s">
        <v>57</v>
      </c>
      <c r="F10" s="107"/>
      <c r="G10" s="107"/>
      <c r="H10" s="107"/>
      <c r="I10" s="143" t="s">
        <v>97</v>
      </c>
      <c r="J10" s="107" t="s">
        <v>80</v>
      </c>
      <c r="K10" s="107"/>
    </row>
    <row r="11" s="29" customFormat="1" ht="67" customHeight="1" spans="1:12">
      <c r="A11" s="107">
        <v>10</v>
      </c>
      <c r="B11" s="49"/>
      <c r="C11" s="135">
        <v>45987</v>
      </c>
      <c r="D11" s="107" t="s">
        <v>98</v>
      </c>
      <c r="E11" s="135" t="s">
        <v>94</v>
      </c>
      <c r="F11" s="107"/>
      <c r="G11" s="107"/>
      <c r="H11" s="107"/>
      <c r="I11" s="143" t="s">
        <v>99</v>
      </c>
      <c r="J11" s="107" t="s">
        <v>80</v>
      </c>
      <c r="K11" s="107"/>
    </row>
    <row r="12" s="29" customFormat="1" ht="409.5" spans="1:12">
      <c r="A12" s="145">
        <v>1</v>
      </c>
      <c r="B12" s="145" t="s">
        <v>100</v>
      </c>
      <c r="C12" s="146">
        <v>46036</v>
      </c>
      <c r="D12" s="145" t="s">
        <v>101</v>
      </c>
      <c r="E12" s="145" t="s">
        <v>57</v>
      </c>
      <c r="F12" s="145" t="s">
        <v>102</v>
      </c>
      <c r="G12" s="145" t="s">
        <v>103</v>
      </c>
      <c r="H12" s="145" t="s">
        <v>104</v>
      </c>
      <c r="I12" s="147" t="s">
        <v>105</v>
      </c>
      <c r="J12" s="145" t="s">
        <v>106</v>
      </c>
      <c r="K12" s="145" t="s">
        <v>107</v>
      </c>
      <c r="L12" s="145" t="s">
        <v>108</v>
      </c>
    </row>
    <row r="13" s="29" customFormat="1" ht="409.5" spans="1:12">
      <c r="A13" s="145">
        <v>2</v>
      </c>
      <c r="B13" s="145"/>
      <c r="C13" s="146">
        <v>46049</v>
      </c>
      <c r="D13" s="145" t="s">
        <v>109</v>
      </c>
      <c r="E13" s="145" t="s">
        <v>64</v>
      </c>
      <c r="F13" s="145" t="s">
        <v>110</v>
      </c>
      <c r="G13" s="145" t="s">
        <v>103</v>
      </c>
      <c r="H13" s="145" t="s">
        <v>111</v>
      </c>
      <c r="I13" s="147" t="s">
        <v>112</v>
      </c>
      <c r="J13" s="145" t="s">
        <v>106</v>
      </c>
      <c r="K13" s="145" t="s">
        <v>113</v>
      </c>
      <c r="L13" s="145" t="s">
        <v>114</v>
      </c>
    </row>
    <row r="14" s="29" customFormat="1" ht="313.5" spans="1:12">
      <c r="A14" s="145">
        <v>3</v>
      </c>
      <c r="B14" s="145" t="s">
        <v>115</v>
      </c>
      <c r="C14" s="146">
        <v>46090</v>
      </c>
      <c r="D14" s="145" t="s">
        <v>116</v>
      </c>
      <c r="E14" s="145" t="s">
        <v>57</v>
      </c>
      <c r="F14" s="145" t="s">
        <v>117</v>
      </c>
      <c r="G14" s="145" t="s">
        <v>118</v>
      </c>
      <c r="H14" s="145" t="s">
        <v>104</v>
      </c>
      <c r="I14" s="147" t="s">
        <v>119</v>
      </c>
      <c r="J14" s="145" t="s">
        <v>120</v>
      </c>
      <c r="K14" s="145" t="s">
        <v>107</v>
      </c>
      <c r="L14" s="145" t="s">
        <v>121</v>
      </c>
    </row>
    <row r="15" s="29" customFormat="1" ht="247.5" spans="1:12">
      <c r="A15" s="145">
        <v>4</v>
      </c>
      <c r="B15" s="145" t="s">
        <v>122</v>
      </c>
      <c r="C15" s="146">
        <v>46098</v>
      </c>
      <c r="D15" s="145" t="s">
        <v>123</v>
      </c>
      <c r="E15" s="145" t="s">
        <v>122</v>
      </c>
      <c r="F15" s="145"/>
      <c r="G15" s="145" t="s">
        <v>103</v>
      </c>
      <c r="H15" s="145" t="s">
        <v>104</v>
      </c>
      <c r="I15" s="147" t="s">
        <v>124</v>
      </c>
      <c r="J15" s="145" t="s">
        <v>125</v>
      </c>
      <c r="K15" s="145" t="s">
        <v>107</v>
      </c>
      <c r="L15" s="145" t="s">
        <v>126</v>
      </c>
    </row>
    <row r="16" s="29" customFormat="1" ht="409.5" spans="1:12">
      <c r="A16" s="145">
        <v>5</v>
      </c>
      <c r="B16" s="145"/>
      <c r="C16" s="146">
        <v>46116</v>
      </c>
      <c r="D16" s="145" t="s">
        <v>127</v>
      </c>
      <c r="E16" s="145" t="s">
        <v>128</v>
      </c>
      <c r="F16" s="145" t="s">
        <v>129</v>
      </c>
      <c r="G16" s="145" t="s">
        <v>118</v>
      </c>
      <c r="H16" s="145" t="s">
        <v>111</v>
      </c>
      <c r="I16" s="147" t="s">
        <v>130</v>
      </c>
      <c r="J16" s="145" t="s">
        <v>131</v>
      </c>
      <c r="K16" s="145" t="s">
        <v>107</v>
      </c>
      <c r="L16" s="145" t="e">
        <v>#N/A</v>
      </c>
    </row>
    <row r="17" s="29" customFormat="1" ht="313.5" spans="1:12">
      <c r="A17" s="145">
        <v>6</v>
      </c>
      <c r="B17" s="145" t="s">
        <v>132</v>
      </c>
      <c r="C17" s="146">
        <v>46142</v>
      </c>
      <c r="D17" s="145" t="s">
        <v>133</v>
      </c>
      <c r="E17" s="145" t="s">
        <v>94</v>
      </c>
      <c r="F17" s="145" t="s">
        <v>134</v>
      </c>
      <c r="G17" s="145" t="s">
        <v>118</v>
      </c>
      <c r="H17" s="145" t="s">
        <v>135</v>
      </c>
      <c r="I17" s="147" t="s">
        <v>136</v>
      </c>
      <c r="J17" s="145" t="s">
        <v>137</v>
      </c>
      <c r="K17" s="145" t="s">
        <v>138</v>
      </c>
      <c r="L17" s="145" t="s">
        <v>139</v>
      </c>
    </row>
    <row r="18" s="29" customFormat="1" ht="409.5" spans="1:12">
      <c r="A18" s="145">
        <v>7</v>
      </c>
      <c r="B18" s="145"/>
      <c r="C18" s="146">
        <v>46149</v>
      </c>
      <c r="D18" s="145" t="s">
        <v>140</v>
      </c>
      <c r="E18" s="145" t="s">
        <v>57</v>
      </c>
      <c r="F18" s="145" t="s">
        <v>141</v>
      </c>
      <c r="G18" s="145" t="s">
        <v>103</v>
      </c>
      <c r="H18" s="145" t="s">
        <v>104</v>
      </c>
      <c r="I18" s="147" t="s">
        <v>142</v>
      </c>
      <c r="J18" s="145" t="s">
        <v>106</v>
      </c>
      <c r="K18" s="145" t="s">
        <v>113</v>
      </c>
      <c r="L18" s="145" t="s">
        <v>143</v>
      </c>
    </row>
    <row r="19" s="29" customFormat="1" ht="346.5" spans="1:12">
      <c r="A19" s="145">
        <v>8</v>
      </c>
      <c r="B19" s="145" t="s">
        <v>144</v>
      </c>
      <c r="C19" s="146">
        <v>46149</v>
      </c>
      <c r="D19" s="145" t="s">
        <v>145</v>
      </c>
      <c r="E19" s="145" t="s">
        <v>146</v>
      </c>
      <c r="F19" s="145"/>
      <c r="G19" s="145" t="s">
        <v>118</v>
      </c>
      <c r="H19" s="145" t="s">
        <v>104</v>
      </c>
      <c r="I19" s="147" t="s">
        <v>147</v>
      </c>
      <c r="J19" s="145" t="s">
        <v>125</v>
      </c>
      <c r="K19" s="145" t="s">
        <v>148</v>
      </c>
      <c r="L19" s="145" t="s">
        <v>126</v>
      </c>
    </row>
    <row r="20" s="29" customFormat="1" ht="409.5" spans="1:12">
      <c r="A20" s="145">
        <v>9</v>
      </c>
      <c r="B20" s="145" t="s">
        <v>149</v>
      </c>
      <c r="C20" s="146">
        <v>46150</v>
      </c>
      <c r="D20" s="145" t="s">
        <v>150</v>
      </c>
      <c r="E20" s="145" t="s">
        <v>57</v>
      </c>
      <c r="F20" s="145"/>
      <c r="G20" s="145" t="s">
        <v>118</v>
      </c>
      <c r="H20" s="145" t="s">
        <v>104</v>
      </c>
      <c r="I20" s="147" t="s">
        <v>151</v>
      </c>
      <c r="J20" s="145" t="s">
        <v>125</v>
      </c>
      <c r="K20" s="145" t="s">
        <v>148</v>
      </c>
      <c r="L20" s="145" t="s">
        <v>126</v>
      </c>
    </row>
    <row r="21" s="29" customFormat="1" ht="363" spans="1:12">
      <c r="A21" s="145">
        <v>10</v>
      </c>
      <c r="B21" s="145"/>
      <c r="C21" s="146">
        <v>46154</v>
      </c>
      <c r="D21" s="145" t="s">
        <v>152</v>
      </c>
      <c r="E21" s="145" t="s">
        <v>48</v>
      </c>
      <c r="F21" s="145" t="s">
        <v>153</v>
      </c>
      <c r="G21" s="145" t="s">
        <v>103</v>
      </c>
      <c r="H21" s="145" t="s">
        <v>104</v>
      </c>
      <c r="I21" s="147" t="s">
        <v>154</v>
      </c>
      <c r="J21" s="145" t="s">
        <v>106</v>
      </c>
      <c r="K21" s="145" t="s">
        <v>138</v>
      </c>
      <c r="L21" s="145" t="s">
        <v>155</v>
      </c>
    </row>
    <row r="22" s="29" customFormat="1" ht="297" spans="1:12">
      <c r="A22" s="145">
        <v>11</v>
      </c>
      <c r="B22" s="145"/>
      <c r="C22" s="146">
        <v>46154</v>
      </c>
      <c r="D22" s="145" t="s">
        <v>156</v>
      </c>
      <c r="E22" s="145" t="s">
        <v>128</v>
      </c>
      <c r="F22" s="145" t="s">
        <v>157</v>
      </c>
      <c r="G22" s="145" t="s">
        <v>118</v>
      </c>
      <c r="H22" s="145" t="s">
        <v>104</v>
      </c>
      <c r="I22" s="147" t="s">
        <v>158</v>
      </c>
      <c r="J22" s="145" t="s">
        <v>120</v>
      </c>
      <c r="K22" s="145" t="s">
        <v>148</v>
      </c>
      <c r="L22" s="145" t="s">
        <v>159</v>
      </c>
    </row>
    <row r="23" s="29" customFormat="1" ht="280.5" spans="1:12">
      <c r="A23" s="145">
        <v>12</v>
      </c>
      <c r="B23" s="145" t="s">
        <v>160</v>
      </c>
      <c r="C23" s="146">
        <v>46154</v>
      </c>
      <c r="D23" s="145" t="s">
        <v>161</v>
      </c>
      <c r="E23" s="145" t="s">
        <v>48</v>
      </c>
      <c r="F23" s="145" t="s">
        <v>162</v>
      </c>
      <c r="G23" s="145" t="s">
        <v>118</v>
      </c>
      <c r="H23" s="145" t="s">
        <v>104</v>
      </c>
      <c r="I23" s="147" t="s">
        <v>163</v>
      </c>
      <c r="J23" s="145" t="s">
        <v>164</v>
      </c>
      <c r="K23" s="145" t="s">
        <v>148</v>
      </c>
      <c r="L23" s="145" t="s">
        <v>165</v>
      </c>
    </row>
    <row r="24" s="29" customFormat="1" ht="346.5" spans="1:12">
      <c r="A24" s="145">
        <v>13</v>
      </c>
      <c r="B24" s="145" t="s">
        <v>166</v>
      </c>
      <c r="C24" s="146">
        <v>46156</v>
      </c>
      <c r="D24" s="145" t="s">
        <v>109</v>
      </c>
      <c r="E24" s="145" t="s">
        <v>64</v>
      </c>
      <c r="F24" s="145" t="s">
        <v>110</v>
      </c>
      <c r="G24" s="145" t="s">
        <v>118</v>
      </c>
      <c r="H24" s="145" t="s">
        <v>104</v>
      </c>
      <c r="I24" s="147" t="s">
        <v>167</v>
      </c>
      <c r="J24" s="145" t="s">
        <v>120</v>
      </c>
      <c r="K24" s="145" t="s">
        <v>113</v>
      </c>
      <c r="L24" s="145" t="s">
        <v>114</v>
      </c>
    </row>
    <row r="25" s="29" customFormat="1" ht="132" spans="1:12">
      <c r="A25" s="145">
        <v>14</v>
      </c>
      <c r="B25" s="145" t="s">
        <v>132</v>
      </c>
      <c r="C25" s="146">
        <v>46158</v>
      </c>
      <c r="D25" s="145" t="s">
        <v>168</v>
      </c>
      <c r="E25" s="145" t="s">
        <v>94</v>
      </c>
      <c r="F25" s="145" t="s">
        <v>134</v>
      </c>
      <c r="G25" s="145" t="s">
        <v>118</v>
      </c>
      <c r="H25" s="145" t="s">
        <v>104</v>
      </c>
      <c r="I25" s="147" t="s">
        <v>169</v>
      </c>
      <c r="J25" s="145" t="s">
        <v>125</v>
      </c>
      <c r="K25" s="145" t="s">
        <v>170</v>
      </c>
      <c r="L25" s="145" t="s">
        <v>139</v>
      </c>
    </row>
    <row r="26" s="29" customFormat="1" ht="330" spans="1:12">
      <c r="A26" s="145">
        <v>15</v>
      </c>
      <c r="B26" s="145" t="s">
        <v>171</v>
      </c>
      <c r="C26" s="146">
        <v>46160</v>
      </c>
      <c r="D26" s="145" t="s">
        <v>172</v>
      </c>
      <c r="E26" s="145" t="s">
        <v>48</v>
      </c>
      <c r="F26" s="145" t="s">
        <v>162</v>
      </c>
      <c r="G26" s="145" t="s">
        <v>118</v>
      </c>
      <c r="H26" s="145" t="s">
        <v>104</v>
      </c>
      <c r="I26" s="147" t="s">
        <v>173</v>
      </c>
      <c r="J26" s="145" t="s">
        <v>120</v>
      </c>
      <c r="K26" s="145" t="s">
        <v>148</v>
      </c>
      <c r="L26" s="145" t="s">
        <v>174</v>
      </c>
    </row>
    <row r="27" s="29" customFormat="1" ht="313.5" spans="1:12">
      <c r="A27" s="145">
        <v>16</v>
      </c>
      <c r="B27" s="145" t="s">
        <v>175</v>
      </c>
      <c r="C27" s="146">
        <v>46161</v>
      </c>
      <c r="D27" s="145" t="s">
        <v>176</v>
      </c>
      <c r="E27" s="148" t="s">
        <v>128</v>
      </c>
      <c r="F27" s="149" t="s">
        <v>177</v>
      </c>
      <c r="G27" s="145" t="s">
        <v>118</v>
      </c>
      <c r="H27" s="145" t="s">
        <v>135</v>
      </c>
      <c r="I27" s="147" t="s">
        <v>178</v>
      </c>
      <c r="J27" s="145" t="s">
        <v>179</v>
      </c>
      <c r="K27" s="145" t="s">
        <v>180</v>
      </c>
      <c r="L27" s="145" t="s">
        <v>181</v>
      </c>
    </row>
    <row r="28" s="29" customFormat="1" ht="409.5" spans="1:12">
      <c r="A28" s="145">
        <v>17</v>
      </c>
      <c r="B28" s="145" t="s">
        <v>182</v>
      </c>
      <c r="C28" s="146">
        <v>46167</v>
      </c>
      <c r="D28" s="145" t="s">
        <v>116</v>
      </c>
      <c r="E28" s="145" t="s">
        <v>57</v>
      </c>
      <c r="F28" s="145" t="s">
        <v>117</v>
      </c>
      <c r="G28" s="145" t="s">
        <v>118</v>
      </c>
      <c r="H28" s="145" t="s">
        <v>104</v>
      </c>
      <c r="I28" s="147" t="s">
        <v>183</v>
      </c>
      <c r="J28" s="145" t="s">
        <v>125</v>
      </c>
      <c r="K28" s="145" t="s">
        <v>107</v>
      </c>
      <c r="L28" s="145" t="s">
        <v>121</v>
      </c>
    </row>
    <row r="29" s="29" customFormat="1" ht="409.5" spans="1:12">
      <c r="A29" s="145">
        <v>18</v>
      </c>
      <c r="B29" s="145" t="s">
        <v>182</v>
      </c>
      <c r="C29" s="146">
        <v>46171</v>
      </c>
      <c r="D29" s="145" t="s">
        <v>184</v>
      </c>
      <c r="E29" s="145" t="s">
        <v>57</v>
      </c>
      <c r="F29" s="145"/>
      <c r="G29" s="145" t="s">
        <v>103</v>
      </c>
      <c r="H29" s="145" t="s">
        <v>111</v>
      </c>
      <c r="I29" s="147" t="s">
        <v>185</v>
      </c>
      <c r="J29" s="145" t="s">
        <v>125</v>
      </c>
      <c r="K29" s="145" t="s">
        <v>186</v>
      </c>
      <c r="L29" s="145" t="s">
        <v>126</v>
      </c>
    </row>
    <row r="30" s="29" customFormat="1" ht="363" spans="1:12">
      <c r="A30" s="145">
        <v>19</v>
      </c>
      <c r="B30" s="145" t="s">
        <v>187</v>
      </c>
      <c r="C30" s="146">
        <v>46177</v>
      </c>
      <c r="D30" s="145" t="s">
        <v>188</v>
      </c>
      <c r="E30" s="145" t="s">
        <v>48</v>
      </c>
      <c r="F30" s="145"/>
      <c r="G30" s="145" t="s">
        <v>118</v>
      </c>
      <c r="H30" s="145" t="s">
        <v>104</v>
      </c>
      <c r="I30" s="147" t="s">
        <v>189</v>
      </c>
      <c r="J30" s="145" t="s">
        <v>106</v>
      </c>
      <c r="K30" s="145" t="s">
        <v>170</v>
      </c>
      <c r="L30" s="145" t="s">
        <v>126</v>
      </c>
    </row>
    <row r="31" s="29" customFormat="1" ht="297" spans="1:12">
      <c r="A31" s="145">
        <v>20</v>
      </c>
      <c r="B31" s="145" t="s">
        <v>166</v>
      </c>
      <c r="C31" s="146">
        <v>46177</v>
      </c>
      <c r="D31" s="145" t="s">
        <v>190</v>
      </c>
      <c r="E31" s="145" t="s">
        <v>64</v>
      </c>
      <c r="F31" s="145" t="s">
        <v>191</v>
      </c>
      <c r="G31" s="145" t="s">
        <v>118</v>
      </c>
      <c r="H31" s="145" t="s">
        <v>104</v>
      </c>
      <c r="I31" s="147" t="s">
        <v>192</v>
      </c>
      <c r="J31" s="145" t="s">
        <v>120</v>
      </c>
      <c r="K31" s="145" t="s">
        <v>148</v>
      </c>
      <c r="L31" s="145" t="s">
        <v>193</v>
      </c>
    </row>
    <row r="32" s="29" customFormat="1" ht="363" spans="1:12">
      <c r="A32" s="145">
        <v>21</v>
      </c>
      <c r="B32" s="145" t="s">
        <v>194</v>
      </c>
      <c r="C32" s="146">
        <v>46181</v>
      </c>
      <c r="D32" s="145" t="s">
        <v>195</v>
      </c>
      <c r="E32" s="145" t="s">
        <v>128</v>
      </c>
      <c r="F32" s="145" t="s">
        <v>196</v>
      </c>
      <c r="G32" s="145" t="s">
        <v>118</v>
      </c>
      <c r="H32" s="145" t="s">
        <v>104</v>
      </c>
      <c r="I32" s="147" t="s">
        <v>197</v>
      </c>
      <c r="J32" s="145" t="s">
        <v>120</v>
      </c>
      <c r="K32" s="145" t="s">
        <v>107</v>
      </c>
      <c r="L32" s="145" t="s">
        <v>198</v>
      </c>
    </row>
    <row r="33" s="29" customFormat="1" ht="231" spans="1:12">
      <c r="A33" s="145">
        <v>22</v>
      </c>
      <c r="B33" s="145"/>
      <c r="C33" s="146">
        <v>46182</v>
      </c>
      <c r="D33" s="145" t="s">
        <v>199</v>
      </c>
      <c r="E33" s="145" t="s">
        <v>94</v>
      </c>
      <c r="F33" s="145"/>
      <c r="G33" s="145" t="s">
        <v>103</v>
      </c>
      <c r="H33" s="145" t="s">
        <v>104</v>
      </c>
      <c r="I33" s="147" t="s">
        <v>200</v>
      </c>
      <c r="J33" s="145" t="s">
        <v>125</v>
      </c>
      <c r="K33" s="145" t="s">
        <v>148</v>
      </c>
      <c r="L33" s="145" t="s">
        <v>126</v>
      </c>
    </row>
    <row r="34" s="29" customFormat="1" ht="231" spans="1:12">
      <c r="A34" s="145">
        <v>23</v>
      </c>
      <c r="B34" s="145"/>
      <c r="C34" s="146">
        <v>46182</v>
      </c>
      <c r="D34" s="145" t="s">
        <v>201</v>
      </c>
      <c r="E34" s="145" t="s">
        <v>57</v>
      </c>
      <c r="F34" s="145" t="s">
        <v>202</v>
      </c>
      <c r="G34" s="145" t="s">
        <v>103</v>
      </c>
      <c r="H34" s="145" t="s">
        <v>104</v>
      </c>
      <c r="I34" s="147" t="s">
        <v>200</v>
      </c>
      <c r="J34" s="145" t="s">
        <v>125</v>
      </c>
      <c r="K34" s="145" t="s">
        <v>148</v>
      </c>
      <c r="L34" s="145" t="s">
        <v>121</v>
      </c>
    </row>
    <row r="35" s="29" customFormat="1" ht="231" spans="1:12">
      <c r="A35" s="145">
        <v>24</v>
      </c>
      <c r="B35" s="145"/>
      <c r="C35" s="146">
        <v>46182</v>
      </c>
      <c r="D35" s="145" t="s">
        <v>203</v>
      </c>
      <c r="E35" s="145" t="s">
        <v>57</v>
      </c>
      <c r="F35" s="145" t="s">
        <v>204</v>
      </c>
      <c r="G35" s="145" t="s">
        <v>103</v>
      </c>
      <c r="H35" s="145" t="s">
        <v>104</v>
      </c>
      <c r="I35" s="147" t="s">
        <v>200</v>
      </c>
      <c r="J35" s="145" t="s">
        <v>125</v>
      </c>
      <c r="K35" s="145" t="s">
        <v>148</v>
      </c>
      <c r="L35" s="145" t="s">
        <v>205</v>
      </c>
    </row>
    <row r="36" s="29" customFormat="1" ht="330" spans="1:12">
      <c r="A36" s="145">
        <v>25</v>
      </c>
      <c r="B36" s="145" t="s">
        <v>187</v>
      </c>
      <c r="C36" s="146">
        <v>46184</v>
      </c>
      <c r="D36" s="145" t="s">
        <v>21</v>
      </c>
      <c r="E36" s="145" t="s">
        <v>20</v>
      </c>
      <c r="F36" s="145"/>
      <c r="G36" s="145" t="s">
        <v>118</v>
      </c>
      <c r="H36" s="145" t="s">
        <v>111</v>
      </c>
      <c r="I36" s="147" t="s">
        <v>206</v>
      </c>
      <c r="J36" s="145" t="s">
        <v>125</v>
      </c>
      <c r="K36" s="145" t="s">
        <v>107</v>
      </c>
      <c r="L36" s="145" t="s">
        <v>207</v>
      </c>
    </row>
    <row r="37" s="29" customFormat="1" ht="313.5" spans="1:12">
      <c r="A37" s="145">
        <v>26</v>
      </c>
      <c r="B37" s="145"/>
      <c r="C37" s="146">
        <v>46193</v>
      </c>
      <c r="D37" s="145" t="s">
        <v>208</v>
      </c>
      <c r="E37" s="145" t="s">
        <v>94</v>
      </c>
      <c r="F37" s="145"/>
      <c r="G37" s="145" t="s">
        <v>103</v>
      </c>
      <c r="H37" s="145" t="s">
        <v>104</v>
      </c>
      <c r="I37" s="147" t="s">
        <v>209</v>
      </c>
      <c r="J37" s="145" t="s">
        <v>125</v>
      </c>
      <c r="K37" s="145" t="s">
        <v>148</v>
      </c>
      <c r="L37" s="145" t="s">
        <v>210</v>
      </c>
    </row>
    <row r="38" s="29" customFormat="1" ht="409.5" spans="1:12">
      <c r="A38" s="145">
        <v>27</v>
      </c>
      <c r="B38" s="145"/>
      <c r="C38" s="146">
        <v>46195</v>
      </c>
      <c r="D38" s="145" t="s">
        <v>211</v>
      </c>
      <c r="E38" s="145" t="s">
        <v>146</v>
      </c>
      <c r="F38" s="145" t="s">
        <v>212</v>
      </c>
      <c r="G38" s="145" t="s">
        <v>103</v>
      </c>
      <c r="H38" s="145" t="s">
        <v>104</v>
      </c>
      <c r="I38" s="147" t="s">
        <v>213</v>
      </c>
      <c r="J38" s="145" t="s">
        <v>125</v>
      </c>
      <c r="K38" s="145" t="s">
        <v>148</v>
      </c>
      <c r="L38" s="145" t="s">
        <v>126</v>
      </c>
    </row>
    <row r="39" s="29" customFormat="1" ht="409.5" spans="1:12">
      <c r="A39" s="145">
        <v>28</v>
      </c>
      <c r="B39" s="145" t="s">
        <v>166</v>
      </c>
      <c r="C39" s="146">
        <v>46197</v>
      </c>
      <c r="D39" s="145" t="s">
        <v>214</v>
      </c>
      <c r="E39" s="145" t="s">
        <v>64</v>
      </c>
      <c r="F39" s="145"/>
      <c r="G39" s="145" t="s">
        <v>118</v>
      </c>
      <c r="H39" s="145" t="s">
        <v>111</v>
      </c>
      <c r="I39" s="147" t="s">
        <v>215</v>
      </c>
      <c r="J39" s="145" t="s">
        <v>106</v>
      </c>
      <c r="K39" s="145" t="s">
        <v>113</v>
      </c>
      <c r="L39" s="145" t="s">
        <v>126</v>
      </c>
    </row>
    <row r="40" s="29" customFormat="1" ht="264" spans="1:12">
      <c r="A40" s="145">
        <v>29</v>
      </c>
      <c r="B40" s="145" t="s">
        <v>194</v>
      </c>
      <c r="C40" s="146">
        <v>46197</v>
      </c>
      <c r="D40" s="145" t="s">
        <v>216</v>
      </c>
      <c r="E40" s="145" t="s">
        <v>94</v>
      </c>
      <c r="F40" s="145"/>
      <c r="G40" s="145" t="s">
        <v>103</v>
      </c>
      <c r="H40" s="145" t="s">
        <v>104</v>
      </c>
      <c r="I40" s="147" t="s">
        <v>217</v>
      </c>
      <c r="J40" s="145" t="s">
        <v>125</v>
      </c>
      <c r="K40" s="145" t="s">
        <v>148</v>
      </c>
      <c r="L40" s="145" t="s">
        <v>207</v>
      </c>
    </row>
    <row r="41" s="29" customFormat="1" ht="346.5" spans="1:12">
      <c r="A41" s="145">
        <v>30</v>
      </c>
      <c r="B41" s="145" t="s">
        <v>187</v>
      </c>
      <c r="C41" s="146">
        <v>46200</v>
      </c>
      <c r="D41" s="145" t="s">
        <v>218</v>
      </c>
      <c r="E41" s="145" t="s">
        <v>94</v>
      </c>
      <c r="F41" s="145"/>
      <c r="G41" s="145" t="s">
        <v>118</v>
      </c>
      <c r="H41" s="145" t="s">
        <v>104</v>
      </c>
      <c r="I41" s="147" t="s">
        <v>219</v>
      </c>
      <c r="J41" s="145" t="s">
        <v>125</v>
      </c>
      <c r="K41" s="145" t="s">
        <v>220</v>
      </c>
      <c r="L41" s="145" t="s">
        <v>126</v>
      </c>
    </row>
    <row r="42" s="29" customFormat="1" ht="280.5" spans="1:12">
      <c r="A42" s="145">
        <v>31</v>
      </c>
      <c r="B42" s="145" t="s">
        <v>132</v>
      </c>
      <c r="C42" s="146">
        <v>46201</v>
      </c>
      <c r="D42" s="145" t="s">
        <v>221</v>
      </c>
      <c r="E42" s="145" t="s">
        <v>57</v>
      </c>
      <c r="F42" s="145"/>
      <c r="G42" s="145" t="s">
        <v>118</v>
      </c>
      <c r="H42" s="145" t="s">
        <v>104</v>
      </c>
      <c r="I42" s="147" t="s">
        <v>222</v>
      </c>
      <c r="J42" s="145" t="s">
        <v>106</v>
      </c>
      <c r="K42" s="145" t="s">
        <v>148</v>
      </c>
      <c r="L42" s="145" t="s">
        <v>126</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6"/>
  <sheetViews>
    <sheetView workbookViewId="0">
      <selection activeCell="A1" sqref="$A1:$XFD36"/>
    </sheetView>
  </sheetViews>
  <sheetFormatPr defaultColWidth="9" defaultRowHeight="13.5"/>
  <sheetData>
    <row r="1" s="49" customFormat="1" ht="23" customHeight="1" spans="1:14">
      <c r="A1" s="109" t="s">
        <v>0</v>
      </c>
      <c r="B1" s="110" t="s">
        <v>223</v>
      </c>
      <c r="C1" s="111" t="s">
        <v>4</v>
      </c>
      <c r="D1" s="110" t="s">
        <v>6</v>
      </c>
      <c r="E1" s="110" t="s">
        <v>5</v>
      </c>
      <c r="F1" s="110" t="s">
        <v>7</v>
      </c>
      <c r="G1" s="112" t="s">
        <v>224</v>
      </c>
      <c r="H1" s="113" t="s">
        <v>8</v>
      </c>
      <c r="I1" s="114" t="s">
        <v>10</v>
      </c>
      <c r="J1" s="114" t="s">
        <v>11</v>
      </c>
      <c r="K1" s="114" t="s">
        <v>12</v>
      </c>
      <c r="L1" s="115" t="s">
        <v>9</v>
      </c>
      <c r="M1" s="110" t="s">
        <v>13</v>
      </c>
      <c r="N1" s="110" t="s">
        <v>225</v>
      </c>
    </row>
    <row r="2" s="49" customFormat="1" ht="23" hidden="1" customHeight="1" spans="1:14">
      <c r="A2" s="116">
        <v>1</v>
      </c>
      <c r="B2" s="117" t="s">
        <v>226</v>
      </c>
      <c r="C2" s="117" t="s">
        <v>227</v>
      </c>
      <c r="D2" s="118">
        <v>45713</v>
      </c>
      <c r="E2" s="119"/>
      <c r="F2" s="120" t="s">
        <v>228</v>
      </c>
      <c r="G2" s="121" t="s">
        <v>228</v>
      </c>
      <c r="H2" s="122" t="s">
        <v>78</v>
      </c>
      <c r="I2" s="122" t="s">
        <v>27</v>
      </c>
      <c r="J2" s="122"/>
      <c r="K2" s="122" t="s">
        <v>77</v>
      </c>
      <c r="L2" s="122" t="s">
        <v>229</v>
      </c>
      <c r="M2" s="123"/>
      <c r="N2" s="124"/>
    </row>
    <row r="3" s="49" customFormat="1" ht="35" hidden="1" customHeight="1" spans="1:14">
      <c r="A3" s="116">
        <v>2</v>
      </c>
      <c r="B3" s="117" t="s">
        <v>230</v>
      </c>
      <c r="C3" s="117" t="s">
        <v>231</v>
      </c>
      <c r="D3" s="118">
        <v>45755</v>
      </c>
      <c r="E3" s="119"/>
      <c r="F3" s="120"/>
      <c r="G3" s="121"/>
      <c r="H3" s="122"/>
      <c r="I3" s="122"/>
      <c r="J3" s="122"/>
      <c r="K3" s="122"/>
      <c r="L3" s="122"/>
      <c r="M3" s="123"/>
      <c r="N3" s="124"/>
    </row>
    <row r="4" s="49" customFormat="1" ht="30" hidden="1" customHeight="1" spans="1:14">
      <c r="A4" s="116">
        <v>3</v>
      </c>
      <c r="B4" s="117" t="s">
        <v>232</v>
      </c>
      <c r="C4" s="117" t="s">
        <v>233</v>
      </c>
      <c r="D4" s="118">
        <v>45762</v>
      </c>
      <c r="E4" s="119"/>
      <c r="F4" s="120"/>
      <c r="G4" s="121"/>
      <c r="H4" s="122"/>
      <c r="I4" s="122"/>
      <c r="J4" s="122"/>
      <c r="K4" s="122"/>
      <c r="L4" s="122"/>
      <c r="M4" s="123"/>
      <c r="N4" s="124"/>
    </row>
    <row r="5" s="49" customFormat="1" ht="23" hidden="1" customHeight="1" spans="1:14">
      <c r="A5" s="116">
        <v>4</v>
      </c>
      <c r="B5" s="117" t="s">
        <v>234</v>
      </c>
      <c r="C5" s="117" t="s">
        <v>235</v>
      </c>
      <c r="D5" s="118">
        <v>45762</v>
      </c>
      <c r="E5" s="119"/>
      <c r="F5" s="120"/>
      <c r="G5" s="121"/>
      <c r="H5" s="122" t="s">
        <v>20</v>
      </c>
      <c r="I5" s="122" t="s">
        <v>27</v>
      </c>
      <c r="J5" s="122"/>
      <c r="K5" s="122" t="s">
        <v>77</v>
      </c>
      <c r="L5" s="122" t="s">
        <v>21</v>
      </c>
      <c r="M5" s="123"/>
      <c r="N5" s="124"/>
    </row>
    <row r="6" s="49" customFormat="1" ht="23" hidden="1" customHeight="1" spans="1:14">
      <c r="A6" s="116">
        <v>5</v>
      </c>
      <c r="B6" s="117" t="s">
        <v>236</v>
      </c>
      <c r="C6" s="117" t="s">
        <v>237</v>
      </c>
      <c r="D6" s="118">
        <v>45769</v>
      </c>
      <c r="E6" s="119"/>
      <c r="F6" s="120"/>
      <c r="G6" s="121"/>
      <c r="H6" s="122" t="s">
        <v>78</v>
      </c>
      <c r="I6" s="122"/>
      <c r="J6" s="122"/>
      <c r="K6" s="122" t="s">
        <v>238</v>
      </c>
      <c r="L6" s="122" t="s">
        <v>239</v>
      </c>
      <c r="M6" s="123"/>
      <c r="N6" s="124"/>
    </row>
    <row r="7" s="49" customFormat="1" ht="23" hidden="1" customHeight="1" spans="1:14">
      <c r="A7" s="116">
        <v>6</v>
      </c>
      <c r="B7" s="117" t="s">
        <v>240</v>
      </c>
      <c r="C7" s="117" t="s">
        <v>241</v>
      </c>
      <c r="D7" s="119">
        <v>45838</v>
      </c>
      <c r="E7" s="119"/>
      <c r="F7" s="120" t="s">
        <v>228</v>
      </c>
      <c r="G7" s="121" t="s">
        <v>228</v>
      </c>
      <c r="H7" s="122" t="s">
        <v>20</v>
      </c>
      <c r="I7" s="122" t="s">
        <v>242</v>
      </c>
      <c r="J7" s="122"/>
      <c r="K7" s="122" t="s">
        <v>77</v>
      </c>
      <c r="L7" s="122" t="s">
        <v>21</v>
      </c>
      <c r="M7" s="125"/>
      <c r="N7" s="126"/>
    </row>
    <row r="8" s="49" customFormat="1" ht="23" hidden="1" customHeight="1" spans="1:14">
      <c r="A8" s="116">
        <v>7</v>
      </c>
      <c r="B8" s="127" t="s">
        <v>243</v>
      </c>
      <c r="C8" s="127" t="s">
        <v>244</v>
      </c>
      <c r="D8" s="128">
        <v>45817</v>
      </c>
      <c r="E8" s="128"/>
      <c r="F8" s="129"/>
      <c r="G8" s="129"/>
      <c r="H8" s="129" t="s">
        <v>122</v>
      </c>
      <c r="I8" s="129" t="s">
        <v>122</v>
      </c>
      <c r="J8" s="129"/>
      <c r="K8" s="129"/>
      <c r="L8" s="125"/>
      <c r="M8" s="125"/>
      <c r="N8" s="126"/>
    </row>
    <row r="9" s="49" customFormat="1" ht="37" hidden="1" customHeight="1" spans="1:14">
      <c r="A9" s="116">
        <v>8</v>
      </c>
      <c r="B9" s="117" t="s">
        <v>245</v>
      </c>
      <c r="C9" s="117" t="s">
        <v>246</v>
      </c>
      <c r="D9" s="119">
        <v>45894</v>
      </c>
      <c r="E9" s="119"/>
      <c r="F9" s="121" t="s">
        <v>228</v>
      </c>
      <c r="G9" s="121" t="s">
        <v>228</v>
      </c>
      <c r="H9" s="121" t="s">
        <v>247</v>
      </c>
      <c r="I9" s="121" t="s">
        <v>248</v>
      </c>
      <c r="J9" s="121"/>
      <c r="K9" s="121" t="s">
        <v>249</v>
      </c>
      <c r="L9" s="121"/>
      <c r="M9" s="125"/>
      <c r="N9" s="126"/>
    </row>
    <row r="10" s="49" customFormat="1" ht="23" hidden="1" customHeight="1" spans="1:14">
      <c r="A10" s="116">
        <v>9</v>
      </c>
      <c r="B10" s="117" t="s">
        <v>250</v>
      </c>
      <c r="C10" s="117" t="s">
        <v>251</v>
      </c>
      <c r="D10" s="119">
        <v>45895</v>
      </c>
      <c r="E10" s="119"/>
      <c r="F10" s="121" t="s">
        <v>228</v>
      </c>
      <c r="G10" s="121" t="s">
        <v>228</v>
      </c>
      <c r="H10" s="121" t="s">
        <v>252</v>
      </c>
      <c r="I10" s="121" t="s">
        <v>253</v>
      </c>
      <c r="J10" s="121"/>
      <c r="K10" s="121" t="s">
        <v>254</v>
      </c>
      <c r="L10" s="121" t="s">
        <v>255</v>
      </c>
      <c r="M10" s="121"/>
      <c r="N10" s="130"/>
    </row>
    <row r="11" s="49" customFormat="1" ht="33" hidden="1" customHeight="1" spans="1:14">
      <c r="A11" s="116">
        <v>10</v>
      </c>
      <c r="B11" s="117" t="s">
        <v>256</v>
      </c>
      <c r="C11" s="117" t="s">
        <v>257</v>
      </c>
      <c r="D11" s="119">
        <v>45898</v>
      </c>
      <c r="E11" s="119"/>
      <c r="F11" s="121" t="s">
        <v>228</v>
      </c>
      <c r="G11" s="121" t="s">
        <v>228</v>
      </c>
      <c r="H11" s="121" t="s">
        <v>128</v>
      </c>
      <c r="I11" s="121" t="s">
        <v>258</v>
      </c>
      <c r="J11" s="121"/>
      <c r="K11" s="121" t="s">
        <v>259</v>
      </c>
      <c r="L11" s="121" t="s">
        <v>260</v>
      </c>
      <c r="M11" s="121"/>
      <c r="N11" s="130"/>
    </row>
    <row r="12" s="49" customFormat="1" ht="23" hidden="1" customHeight="1" spans="1:14">
      <c r="A12" s="116">
        <v>11</v>
      </c>
      <c r="B12" s="117" t="s">
        <v>261</v>
      </c>
      <c r="C12" s="117" t="s">
        <v>262</v>
      </c>
      <c r="D12" s="119">
        <v>45906</v>
      </c>
      <c r="E12" s="119"/>
      <c r="F12" s="121" t="s">
        <v>228</v>
      </c>
      <c r="G12" s="121" t="s">
        <v>228</v>
      </c>
      <c r="H12" s="121" t="s">
        <v>57</v>
      </c>
      <c r="I12" s="121" t="s">
        <v>122</v>
      </c>
      <c r="J12" s="121"/>
      <c r="K12" s="121" t="s">
        <v>263</v>
      </c>
      <c r="L12" s="121" t="s">
        <v>184</v>
      </c>
      <c r="M12" s="121"/>
      <c r="N12" s="130"/>
    </row>
    <row r="13" s="49" customFormat="1" ht="23" hidden="1" customHeight="1" spans="1:14">
      <c r="A13" s="116">
        <v>12</v>
      </c>
      <c r="B13" s="117" t="s">
        <v>264</v>
      </c>
      <c r="C13" s="117" t="s">
        <v>265</v>
      </c>
      <c r="D13" s="119">
        <v>45930</v>
      </c>
      <c r="E13" s="119"/>
      <c r="F13" s="125"/>
      <c r="G13" s="125"/>
      <c r="H13" s="125"/>
      <c r="I13" s="125"/>
      <c r="J13" s="125"/>
      <c r="K13" s="125"/>
      <c r="L13" s="125"/>
      <c r="M13" s="125"/>
      <c r="N13" s="126"/>
    </row>
    <row r="14" s="49" customFormat="1" ht="23" hidden="1" customHeight="1" spans="1:14">
      <c r="A14" s="116">
        <v>13</v>
      </c>
      <c r="B14" s="117" t="s">
        <v>266</v>
      </c>
      <c r="C14" s="117" t="s">
        <v>267</v>
      </c>
      <c r="D14" s="119">
        <v>45981</v>
      </c>
      <c r="E14" s="119"/>
      <c r="F14" s="119">
        <v>46001</v>
      </c>
      <c r="G14" s="125"/>
      <c r="H14" s="125"/>
      <c r="I14" s="125"/>
      <c r="J14" s="125"/>
      <c r="K14" s="125"/>
      <c r="L14" s="125"/>
      <c r="M14" s="125"/>
      <c r="N14" s="126"/>
    </row>
    <row r="15" s="49" customFormat="1" ht="23" hidden="1" customHeight="1" spans="1:14">
      <c r="A15" s="116">
        <v>14</v>
      </c>
      <c r="B15" s="117" t="s">
        <v>268</v>
      </c>
      <c r="C15" s="117" t="s">
        <v>269</v>
      </c>
      <c r="D15" s="119">
        <v>45979</v>
      </c>
      <c r="E15" s="119"/>
      <c r="F15" s="119">
        <v>45991</v>
      </c>
      <c r="G15" s="125" t="s">
        <v>270</v>
      </c>
      <c r="H15" s="125"/>
      <c r="I15" s="125"/>
      <c r="J15" s="125"/>
      <c r="K15" s="125"/>
      <c r="L15" s="125"/>
      <c r="M15" s="125"/>
      <c r="N15" s="126"/>
    </row>
    <row r="16" s="49" customFormat="1" ht="23" hidden="1" customHeight="1" spans="1:14">
      <c r="A16" s="116">
        <v>15</v>
      </c>
      <c r="B16" s="117" t="s">
        <v>271</v>
      </c>
      <c r="C16" s="117" t="s">
        <v>272</v>
      </c>
      <c r="D16" s="119">
        <v>45985</v>
      </c>
      <c r="E16" s="119"/>
      <c r="F16" s="119"/>
      <c r="G16" s="125"/>
      <c r="H16" s="125" t="s">
        <v>20</v>
      </c>
      <c r="I16" s="125"/>
      <c r="J16" s="125"/>
      <c r="K16" s="125"/>
      <c r="L16" s="125"/>
      <c r="M16" s="125"/>
      <c r="N16" s="126"/>
    </row>
    <row r="17" s="49" customFormat="1" ht="23" hidden="1" customHeight="1" spans="1:14">
      <c r="A17" s="116">
        <v>16</v>
      </c>
      <c r="B17" s="117" t="s">
        <v>273</v>
      </c>
      <c r="C17" s="117" t="s">
        <v>274</v>
      </c>
      <c r="D17" s="119">
        <v>45987</v>
      </c>
      <c r="E17" s="119"/>
      <c r="F17" s="119"/>
      <c r="G17" s="125"/>
      <c r="H17" s="125" t="s">
        <v>94</v>
      </c>
      <c r="I17" s="125" t="s">
        <v>275</v>
      </c>
      <c r="J17" s="125"/>
      <c r="K17" s="125" t="s">
        <v>276</v>
      </c>
      <c r="L17" s="125" t="s">
        <v>218</v>
      </c>
      <c r="M17" s="131"/>
      <c r="N17" s="126"/>
    </row>
    <row r="18" s="49" customFormat="1" ht="33" hidden="1" customHeight="1" spans="1:14">
      <c r="A18" s="116">
        <v>17</v>
      </c>
      <c r="B18" s="117" t="s">
        <v>277</v>
      </c>
      <c r="C18" s="117" t="s">
        <v>278</v>
      </c>
      <c r="D18" s="119">
        <v>45994</v>
      </c>
      <c r="E18" s="119"/>
      <c r="F18" s="119"/>
      <c r="G18" s="125"/>
      <c r="H18" s="125"/>
      <c r="I18" s="125"/>
      <c r="J18" s="125"/>
      <c r="K18" s="125"/>
      <c r="L18" s="125"/>
      <c r="M18" s="131"/>
      <c r="N18" s="126"/>
    </row>
    <row r="19" s="49" customFormat="1" ht="23" hidden="1" customHeight="1" spans="1:14">
      <c r="A19" s="116">
        <v>18</v>
      </c>
      <c r="B19" s="117" t="s">
        <v>279</v>
      </c>
      <c r="C19" s="117" t="s">
        <v>280</v>
      </c>
      <c r="D19" s="119">
        <v>45994</v>
      </c>
      <c r="E19" s="119"/>
      <c r="F19" s="119"/>
      <c r="G19" s="125"/>
      <c r="H19" s="125"/>
      <c r="I19" s="125"/>
      <c r="J19" s="125"/>
      <c r="K19" s="125"/>
      <c r="L19" s="125"/>
      <c r="M19" s="131"/>
      <c r="N19" s="126"/>
    </row>
    <row r="20" s="49" customFormat="1" ht="23" hidden="1" customHeight="1" spans="1:14">
      <c r="A20" s="116">
        <v>19</v>
      </c>
      <c r="B20" s="117" t="s">
        <v>281</v>
      </c>
      <c r="C20" s="117" t="s">
        <v>282</v>
      </c>
      <c r="D20" s="119">
        <v>45996</v>
      </c>
      <c r="E20" s="119"/>
      <c r="F20" s="119"/>
      <c r="G20" s="125"/>
      <c r="H20" s="125"/>
      <c r="I20" s="125"/>
      <c r="J20" s="125"/>
      <c r="K20" s="125"/>
      <c r="L20" s="125"/>
      <c r="M20" s="131"/>
      <c r="N20" s="126"/>
    </row>
    <row r="21" s="49" customFormat="1" ht="23" hidden="1" customHeight="1" spans="1:14">
      <c r="A21" s="116">
        <v>20</v>
      </c>
      <c r="B21" s="117" t="s">
        <v>283</v>
      </c>
      <c r="C21" s="117" t="s">
        <v>284</v>
      </c>
      <c r="D21" s="119">
        <v>45999</v>
      </c>
      <c r="E21" s="119"/>
      <c r="F21" s="119"/>
      <c r="G21" s="125"/>
      <c r="H21" s="125"/>
      <c r="I21" s="125"/>
      <c r="J21" s="125"/>
      <c r="K21" s="125"/>
      <c r="L21" s="125"/>
      <c r="M21" s="131"/>
      <c r="N21" s="126"/>
    </row>
    <row r="22" s="49" customFormat="1" ht="31" hidden="1" customHeight="1" spans="1:14">
      <c r="A22" s="116">
        <v>21</v>
      </c>
      <c r="B22" s="117" t="s">
        <v>285</v>
      </c>
      <c r="C22" s="117" t="s">
        <v>286</v>
      </c>
      <c r="D22" s="118">
        <v>46021</v>
      </c>
      <c r="E22" s="119"/>
      <c r="F22" s="119"/>
      <c r="G22" s="125"/>
      <c r="H22" s="125"/>
      <c r="I22" s="125"/>
      <c r="J22" s="125"/>
      <c r="K22" s="125"/>
      <c r="L22" s="125"/>
      <c r="M22" s="125"/>
      <c r="N22" s="125"/>
    </row>
    <row r="23" s="49" customFormat="1" ht="31" customHeight="1" spans="1:14">
      <c r="A23" s="132">
        <v>1</v>
      </c>
      <c r="B23" s="133" t="s">
        <v>287</v>
      </c>
      <c r="C23" s="133" t="s">
        <v>288</v>
      </c>
      <c r="D23" s="134">
        <v>46028</v>
      </c>
      <c r="E23" s="135" t="s">
        <v>18</v>
      </c>
      <c r="F23" s="135"/>
      <c r="G23" s="107" t="s">
        <v>289</v>
      </c>
      <c r="H23" s="107" t="s">
        <v>290</v>
      </c>
      <c r="I23" s="107" t="s">
        <v>291</v>
      </c>
      <c r="J23" s="107" t="s">
        <v>19</v>
      </c>
      <c r="K23" s="107" t="s">
        <v>19</v>
      </c>
      <c r="L23" s="107"/>
      <c r="M23" s="107"/>
      <c r="N23" s="136" t="s">
        <v>292</v>
      </c>
    </row>
    <row r="24" s="49" customFormat="1" ht="31" customHeight="1" spans="1:14">
      <c r="A24" s="132">
        <v>2</v>
      </c>
      <c r="B24" s="133" t="s">
        <v>293</v>
      </c>
      <c r="C24" s="133" t="s">
        <v>294</v>
      </c>
      <c r="D24" s="134">
        <v>46048</v>
      </c>
      <c r="E24" s="135" t="s">
        <v>18</v>
      </c>
      <c r="F24" s="135"/>
      <c r="G24" s="107" t="s">
        <v>295</v>
      </c>
      <c r="H24" s="107" t="s">
        <v>296</v>
      </c>
      <c r="I24" s="107" t="s">
        <v>297</v>
      </c>
      <c r="J24" s="107" t="s">
        <v>19</v>
      </c>
      <c r="K24" s="107" t="s">
        <v>19</v>
      </c>
      <c r="L24" s="107"/>
      <c r="M24" s="107"/>
      <c r="N24" s="136" t="s">
        <v>298</v>
      </c>
    </row>
    <row r="25" s="49" customFormat="1" ht="31" customHeight="1" spans="1:14">
      <c r="A25" s="132">
        <v>3</v>
      </c>
      <c r="B25" s="133" t="s">
        <v>299</v>
      </c>
      <c r="C25" s="133" t="s">
        <v>300</v>
      </c>
      <c r="D25" s="134">
        <v>46062</v>
      </c>
      <c r="E25" s="135" t="s">
        <v>301</v>
      </c>
      <c r="F25" s="135"/>
      <c r="G25" s="107" t="s">
        <v>302</v>
      </c>
      <c r="H25" s="107" t="s">
        <v>64</v>
      </c>
      <c r="I25" s="107" t="s">
        <v>303</v>
      </c>
      <c r="J25" s="107" t="s">
        <v>67</v>
      </c>
      <c r="K25" s="107" t="s">
        <v>68</v>
      </c>
      <c r="L25" s="107"/>
      <c r="M25" s="107"/>
      <c r="N25" s="136" t="s">
        <v>304</v>
      </c>
    </row>
    <row r="26" s="49" customFormat="1" ht="31" customHeight="1" spans="1:14">
      <c r="A26" s="132">
        <v>4</v>
      </c>
      <c r="B26" s="137" t="s">
        <v>305</v>
      </c>
      <c r="C26" s="137" t="s">
        <v>306</v>
      </c>
      <c r="D26" s="138">
        <v>46077</v>
      </c>
      <c r="E26" s="135" t="s">
        <v>307</v>
      </c>
      <c r="F26" s="138"/>
      <c r="G26" s="139" t="s">
        <v>302</v>
      </c>
      <c r="H26" s="139" t="s">
        <v>128</v>
      </c>
      <c r="I26" s="139" t="s">
        <v>308</v>
      </c>
      <c r="J26" s="107" t="s">
        <v>19</v>
      </c>
      <c r="K26" s="107" t="s">
        <v>19</v>
      </c>
      <c r="L26" s="107"/>
      <c r="M26" s="107"/>
      <c r="N26" s="136" t="s">
        <v>309</v>
      </c>
    </row>
    <row r="27" s="49" customFormat="1" ht="31" customHeight="1" spans="1:14">
      <c r="A27" s="132">
        <v>5</v>
      </c>
      <c r="B27" s="133" t="s">
        <v>310</v>
      </c>
      <c r="C27" s="133" t="s">
        <v>311</v>
      </c>
      <c r="D27" s="135">
        <v>46161</v>
      </c>
      <c r="E27" s="135" t="s">
        <v>312</v>
      </c>
      <c r="F27" s="135"/>
      <c r="G27" s="107" t="s">
        <v>313</v>
      </c>
      <c r="H27" s="107" t="s">
        <v>128</v>
      </c>
      <c r="I27" s="107" t="s">
        <v>314</v>
      </c>
      <c r="J27" s="140" t="s">
        <v>19</v>
      </c>
      <c r="K27" s="107" t="s">
        <v>19</v>
      </c>
      <c r="L27" s="107"/>
      <c r="M27" s="107"/>
      <c r="N27" s="136" t="s">
        <v>315</v>
      </c>
    </row>
    <row r="28" s="49" customFormat="1" ht="31" customHeight="1" spans="1:14">
      <c r="A28" s="132">
        <v>6</v>
      </c>
      <c r="B28" s="133" t="s">
        <v>316</v>
      </c>
      <c r="C28" s="133" t="s">
        <v>317</v>
      </c>
      <c r="D28" s="135">
        <v>46161</v>
      </c>
      <c r="E28" s="135" t="s">
        <v>63</v>
      </c>
      <c r="F28" s="135"/>
      <c r="G28" s="107" t="s">
        <v>302</v>
      </c>
      <c r="H28" s="107" t="s">
        <v>122</v>
      </c>
      <c r="I28" s="107" t="s">
        <v>318</v>
      </c>
      <c r="J28" s="140" t="s">
        <v>19</v>
      </c>
      <c r="K28" s="107" t="s">
        <v>19</v>
      </c>
      <c r="L28" s="107"/>
      <c r="M28" s="107"/>
      <c r="N28" s="136" t="s">
        <v>319</v>
      </c>
    </row>
    <row r="29" s="49" customFormat="1" ht="31" customHeight="1" spans="1:14">
      <c r="A29" s="132">
        <v>7</v>
      </c>
      <c r="B29" s="133" t="s">
        <v>320</v>
      </c>
      <c r="C29" s="133" t="s">
        <v>321</v>
      </c>
      <c r="D29" s="135">
        <v>46163</v>
      </c>
      <c r="E29" s="135" t="s">
        <v>312</v>
      </c>
      <c r="F29" s="135"/>
      <c r="G29" s="107" t="s">
        <v>322</v>
      </c>
      <c r="H29" s="107" t="s">
        <v>94</v>
      </c>
      <c r="I29" s="107" t="s">
        <v>323</v>
      </c>
      <c r="J29" s="140" t="s">
        <v>139</v>
      </c>
      <c r="K29" s="107" t="s">
        <v>324</v>
      </c>
      <c r="L29" s="107"/>
      <c r="M29" s="107"/>
      <c r="N29" s="136" t="s">
        <v>325</v>
      </c>
    </row>
    <row r="30" s="49" customFormat="1" ht="31" customHeight="1" spans="1:14">
      <c r="A30" s="132">
        <v>8</v>
      </c>
      <c r="B30" s="133" t="s">
        <v>326</v>
      </c>
      <c r="C30" s="133" t="s">
        <v>327</v>
      </c>
      <c r="D30" s="135">
        <v>46169</v>
      </c>
      <c r="E30" s="135" t="s">
        <v>328</v>
      </c>
      <c r="F30" s="135"/>
      <c r="G30" s="107" t="s">
        <v>329</v>
      </c>
      <c r="H30" s="107" t="s">
        <v>128</v>
      </c>
      <c r="I30" s="107" t="s">
        <v>330</v>
      </c>
      <c r="J30" s="140" t="s">
        <v>331</v>
      </c>
      <c r="K30" s="107" t="s">
        <v>177</v>
      </c>
      <c r="L30" s="107"/>
      <c r="M30" s="107"/>
      <c r="N30" s="136" t="s">
        <v>332</v>
      </c>
    </row>
    <row r="31" s="49" customFormat="1" ht="31" customHeight="1" spans="1:14">
      <c r="A31" s="132">
        <v>9</v>
      </c>
      <c r="B31" s="133" t="s">
        <v>333</v>
      </c>
      <c r="C31" s="133" t="s">
        <v>334</v>
      </c>
      <c r="D31" s="135">
        <v>46203</v>
      </c>
      <c r="E31" s="135" t="s">
        <v>335</v>
      </c>
      <c r="F31" s="135"/>
      <c r="G31" s="107" t="s">
        <v>302</v>
      </c>
      <c r="H31" s="107" t="s">
        <v>128</v>
      </c>
      <c r="I31" s="107" t="s">
        <v>336</v>
      </c>
      <c r="J31" s="107" t="s">
        <v>331</v>
      </c>
      <c r="K31" s="107" t="s">
        <v>177</v>
      </c>
      <c r="L31" s="107"/>
      <c r="M31" s="107"/>
      <c r="N31" s="136" t="s">
        <v>337</v>
      </c>
    </row>
    <row r="32" s="29" customFormat="1" ht="31" customHeight="1" spans="1:14">
      <c r="A32" s="132">
        <v>10</v>
      </c>
      <c r="B32" s="133" t="s">
        <v>338</v>
      </c>
      <c r="C32" s="133" t="s">
        <v>339</v>
      </c>
      <c r="D32" s="135">
        <v>46206</v>
      </c>
      <c r="E32" s="135" t="s">
        <v>340</v>
      </c>
      <c r="F32" s="135"/>
      <c r="G32" s="107" t="s">
        <v>341</v>
      </c>
      <c r="H32" s="107" t="s">
        <v>64</v>
      </c>
      <c r="I32" s="107" t="s">
        <v>342</v>
      </c>
      <c r="J32" s="107" t="s">
        <v>343</v>
      </c>
      <c r="K32" s="107" t="s">
        <v>344</v>
      </c>
      <c r="L32" s="107"/>
      <c r="M32" s="107"/>
      <c r="N32" s="136" t="s">
        <v>345</v>
      </c>
    </row>
    <row r="33" s="29" customFormat="1" ht="31" customHeight="1" spans="1:14">
      <c r="A33" s="132">
        <v>11</v>
      </c>
      <c r="B33" s="133" t="s">
        <v>346</v>
      </c>
      <c r="C33" s="133" t="s">
        <v>347</v>
      </c>
      <c r="D33" s="135">
        <v>46211</v>
      </c>
      <c r="E33" s="135" t="s">
        <v>312</v>
      </c>
      <c r="F33" s="135"/>
      <c r="G33" s="107" t="s">
        <v>348</v>
      </c>
      <c r="H33" s="107" t="s">
        <v>64</v>
      </c>
      <c r="I33" s="107"/>
      <c r="J33" s="107"/>
      <c r="K33" s="107"/>
      <c r="L33" s="107"/>
      <c r="M33" s="107"/>
      <c r="N33" s="107"/>
    </row>
    <row r="34" s="49" customFormat="1" ht="23" customHeight="1" spans="1:14">
      <c r="A34" s="132">
        <v>12</v>
      </c>
      <c r="B34" s="107" t="s">
        <v>349</v>
      </c>
      <c r="C34" s="141" t="s">
        <v>350</v>
      </c>
      <c r="D34" s="135">
        <v>46216</v>
      </c>
      <c r="E34" s="135" t="s">
        <v>312</v>
      </c>
      <c r="F34" s="107"/>
      <c r="G34" s="107" t="s">
        <v>302</v>
      </c>
      <c r="H34" s="107" t="s">
        <v>122</v>
      </c>
      <c r="I34" s="107"/>
      <c r="J34" s="107"/>
      <c r="K34" s="107"/>
      <c r="L34" s="107"/>
      <c r="M34" s="107"/>
      <c r="N34" s="107"/>
    </row>
    <row r="35" s="49" customFormat="1" ht="23" customHeight="1" spans="1:14">
      <c r="A35" s="132">
        <v>13</v>
      </c>
      <c r="B35" s="107" t="s">
        <v>351</v>
      </c>
      <c r="C35" s="141" t="s">
        <v>352</v>
      </c>
      <c r="D35" s="135">
        <v>46210</v>
      </c>
      <c r="E35" s="135" t="s">
        <v>52</v>
      </c>
      <c r="F35" s="107"/>
      <c r="G35" s="107" t="s">
        <v>302</v>
      </c>
      <c r="H35" s="107" t="s">
        <v>57</v>
      </c>
      <c r="I35" s="107"/>
      <c r="J35" s="107"/>
      <c r="K35" s="107"/>
      <c r="L35" s="107"/>
      <c r="M35" s="107"/>
      <c r="N35" s="107"/>
    </row>
    <row r="36" s="49" customFormat="1" ht="23" customHeight="1" spans="1:14">
      <c r="A36" s="132">
        <v>14</v>
      </c>
      <c r="B36" s="107" t="s">
        <v>353</v>
      </c>
      <c r="C36" s="141" t="s">
        <v>354</v>
      </c>
      <c r="D36" s="135">
        <v>46219</v>
      </c>
      <c r="E36" s="135" t="s">
        <v>312</v>
      </c>
      <c r="F36" s="107"/>
      <c r="G36" s="107" t="s">
        <v>355</v>
      </c>
      <c r="H36" s="107" t="s">
        <v>57</v>
      </c>
      <c r="I36" s="107"/>
      <c r="J36" s="107"/>
      <c r="K36" s="107"/>
      <c r="L36" s="107"/>
      <c r="M36" s="107"/>
      <c r="N36" s="107"/>
    </row>
  </sheetData>
  <dataValidations count="1">
    <dataValidation type="list" allowBlank="1" showInputMessage="1" showErrorMessage="1" sqref="E23:E36">
      <formula1>"临时用电,起重吊装,脚手架及平台,高处作业,孔洞临边防护,劳动防护,人员行为,环境保护,危化品管理,职业健康,物项存放,文明施工,机械器具,消防与动火,无证作业,其他,有限空间作业,射线探伤作业,班组建设,应急,交通运输,安全通道,作业交底,施工方案"</formula1>
    </dataValidation>
  </dataValidation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1"/>
  <sheetViews>
    <sheetView workbookViewId="0">
      <selection activeCell="A1" sqref="$A1:$XFD21"/>
    </sheetView>
  </sheetViews>
  <sheetFormatPr defaultColWidth="9" defaultRowHeight="13.5"/>
  <sheetData>
    <row r="1" s="29" customFormat="1" ht="27" customHeight="1" spans="1:15">
      <c r="A1" s="90" t="s">
        <v>0</v>
      </c>
      <c r="B1" s="50" t="s">
        <v>1</v>
      </c>
      <c r="C1" s="50" t="s">
        <v>356</v>
      </c>
      <c r="D1" s="50" t="s">
        <v>4</v>
      </c>
      <c r="E1" s="91" t="s">
        <v>6</v>
      </c>
      <c r="F1" s="91" t="s">
        <v>7</v>
      </c>
      <c r="G1" s="50" t="s">
        <v>357</v>
      </c>
      <c r="H1" s="50" t="s">
        <v>8</v>
      </c>
      <c r="I1" s="92" t="s">
        <v>9</v>
      </c>
      <c r="J1" s="92" t="s">
        <v>10</v>
      </c>
      <c r="K1" s="50" t="s">
        <v>11</v>
      </c>
      <c r="L1" s="50" t="s">
        <v>12</v>
      </c>
      <c r="M1" s="50" t="s">
        <v>13</v>
      </c>
      <c r="N1" s="93" t="s">
        <v>225</v>
      </c>
      <c r="O1" s="94"/>
    </row>
    <row r="2" s="89" customFormat="1" ht="30" customHeight="1" spans="1:15">
      <c r="A2" s="95">
        <v>1</v>
      </c>
      <c r="B2" s="96" t="s">
        <v>14</v>
      </c>
      <c r="C2" s="96" t="s">
        <v>358</v>
      </c>
      <c r="D2" s="97" t="s">
        <v>359</v>
      </c>
      <c r="E2" s="98">
        <f>DATE(2026,1,29)</f>
        <v>46051</v>
      </c>
      <c r="F2" s="96" t="s">
        <v>360</v>
      </c>
      <c r="G2" s="97" t="s">
        <v>31</v>
      </c>
      <c r="H2" s="95"/>
      <c r="I2" s="95"/>
      <c r="J2" s="95"/>
      <c r="K2" s="95"/>
      <c r="L2" s="95"/>
      <c r="M2" s="96" t="s">
        <v>361</v>
      </c>
      <c r="N2" s="99" t="s">
        <v>362</v>
      </c>
      <c r="O2" s="99"/>
    </row>
    <row r="3" s="89" customFormat="1" ht="30" customHeight="1" spans="1:15">
      <c r="A3" s="95">
        <v>2</v>
      </c>
      <c r="B3" s="96" t="s">
        <v>14</v>
      </c>
      <c r="C3" s="96" t="s">
        <v>363</v>
      </c>
      <c r="D3" s="97" t="s">
        <v>364</v>
      </c>
      <c r="E3" s="98">
        <f>DATE(2026,2,3)</f>
        <v>46056</v>
      </c>
      <c r="F3" s="96" t="s">
        <v>365</v>
      </c>
      <c r="G3" s="97" t="s">
        <v>301</v>
      </c>
      <c r="H3" s="95"/>
      <c r="I3" s="95"/>
      <c r="J3" s="95"/>
      <c r="K3" s="95"/>
      <c r="L3" s="95"/>
      <c r="M3" s="96" t="s">
        <v>361</v>
      </c>
      <c r="N3" s="99" t="s">
        <v>366</v>
      </c>
      <c r="O3" s="99"/>
    </row>
    <row r="4" s="89" customFormat="1" ht="30" customHeight="1" spans="1:15">
      <c r="A4" s="95">
        <v>3</v>
      </c>
      <c r="B4" s="96" t="s">
        <v>14</v>
      </c>
      <c r="C4" s="96" t="s">
        <v>367</v>
      </c>
      <c r="D4" s="97" t="s">
        <v>368</v>
      </c>
      <c r="E4" s="98">
        <f>DATE(2026,3,12)</f>
        <v>46093</v>
      </c>
      <c r="F4" s="96" t="s">
        <v>369</v>
      </c>
      <c r="G4" s="97" t="s">
        <v>47</v>
      </c>
      <c r="H4" s="95"/>
      <c r="I4" s="95"/>
      <c r="J4" s="95"/>
      <c r="K4" s="95"/>
      <c r="L4" s="95"/>
      <c r="M4" s="96" t="s">
        <v>361</v>
      </c>
      <c r="N4" s="99" t="s">
        <v>370</v>
      </c>
      <c r="O4" s="99"/>
    </row>
    <row r="5" s="89" customFormat="1" ht="30" customHeight="1" spans="1:15">
      <c r="A5" s="95">
        <v>4</v>
      </c>
      <c r="B5" s="96" t="s">
        <v>14</v>
      </c>
      <c r="C5" s="96" t="s">
        <v>371</v>
      </c>
      <c r="D5" s="97" t="s">
        <v>372</v>
      </c>
      <c r="E5" s="98">
        <f>DATE(2026,3,16)</f>
        <v>46097</v>
      </c>
      <c r="F5" s="96" t="s">
        <v>373</v>
      </c>
      <c r="G5" s="97" t="s">
        <v>335</v>
      </c>
      <c r="H5" s="95"/>
      <c r="I5" s="95"/>
      <c r="J5" s="95"/>
      <c r="K5" s="95"/>
      <c r="L5" s="95"/>
      <c r="M5" s="96" t="s">
        <v>361</v>
      </c>
      <c r="N5" s="99" t="s">
        <v>374</v>
      </c>
      <c r="O5" s="99"/>
    </row>
    <row r="6" s="89" customFormat="1" ht="30" customHeight="1" spans="1:15">
      <c r="A6" s="95">
        <v>5</v>
      </c>
      <c r="B6" s="96" t="s">
        <v>14</v>
      </c>
      <c r="C6" s="96" t="s">
        <v>375</v>
      </c>
      <c r="D6" s="97" t="s">
        <v>376</v>
      </c>
      <c r="E6" s="98">
        <f>DATE(2026,3,28)</f>
        <v>46109</v>
      </c>
      <c r="F6" s="96" t="s">
        <v>377</v>
      </c>
      <c r="G6" s="97" t="s">
        <v>335</v>
      </c>
      <c r="H6" s="95"/>
      <c r="I6" s="95"/>
      <c r="J6" s="95"/>
      <c r="K6" s="95"/>
      <c r="L6" s="95"/>
      <c r="M6" s="96" t="s">
        <v>361</v>
      </c>
      <c r="N6" s="99" t="s">
        <v>378</v>
      </c>
      <c r="O6" s="99"/>
    </row>
    <row r="7" s="89" customFormat="1" ht="30" customHeight="1" spans="1:15">
      <c r="A7" s="95">
        <v>6</v>
      </c>
      <c r="B7" s="96" t="s">
        <v>14</v>
      </c>
      <c r="C7" s="96" t="s">
        <v>379</v>
      </c>
      <c r="D7" s="97" t="s">
        <v>380</v>
      </c>
      <c r="E7" s="98">
        <f>DATE(2026,4,10)</f>
        <v>46122</v>
      </c>
      <c r="F7" s="96" t="s">
        <v>381</v>
      </c>
      <c r="G7" s="97" t="s">
        <v>307</v>
      </c>
      <c r="H7" s="95"/>
      <c r="I7" s="95"/>
      <c r="J7" s="95"/>
      <c r="K7" s="95"/>
      <c r="L7" s="95"/>
      <c r="M7" s="96" t="s">
        <v>361</v>
      </c>
      <c r="N7" s="99" t="s">
        <v>382</v>
      </c>
      <c r="O7" s="99"/>
    </row>
    <row r="8" s="89" customFormat="1" ht="30" customHeight="1" spans="1:15">
      <c r="A8" s="95">
        <v>7</v>
      </c>
      <c r="B8" s="96" t="s">
        <v>14</v>
      </c>
      <c r="C8" s="96" t="s">
        <v>383</v>
      </c>
      <c r="D8" s="97" t="s">
        <v>384</v>
      </c>
      <c r="E8" s="98">
        <f>DATE(2026,4,19)</f>
        <v>46131</v>
      </c>
      <c r="F8" s="96" t="s">
        <v>385</v>
      </c>
      <c r="G8" s="97" t="s">
        <v>47</v>
      </c>
      <c r="H8" s="95"/>
      <c r="I8" s="95"/>
      <c r="J8" s="95"/>
      <c r="K8" s="95"/>
      <c r="L8" s="95"/>
      <c r="M8" s="96" t="s">
        <v>361</v>
      </c>
      <c r="N8" s="99" t="s">
        <v>386</v>
      </c>
      <c r="O8" s="99"/>
    </row>
    <row r="9" s="89" customFormat="1" ht="30" customHeight="1" spans="1:15">
      <c r="A9" s="95">
        <v>8</v>
      </c>
      <c r="B9" s="96" t="s">
        <v>14</v>
      </c>
      <c r="C9" s="96" t="s">
        <v>387</v>
      </c>
      <c r="D9" s="97" t="s">
        <v>388</v>
      </c>
      <c r="E9" s="98">
        <f>DATE(2026,5,3)</f>
        <v>46145</v>
      </c>
      <c r="F9" s="96" t="s">
        <v>389</v>
      </c>
      <c r="G9" s="97" t="s">
        <v>312</v>
      </c>
      <c r="H9" s="95"/>
      <c r="I9" s="95"/>
      <c r="J9" s="95"/>
      <c r="K9" s="95"/>
      <c r="L9" s="95"/>
      <c r="M9" s="96" t="s">
        <v>361</v>
      </c>
      <c r="N9" s="99" t="s">
        <v>390</v>
      </c>
      <c r="O9" s="99"/>
    </row>
    <row r="10" s="89" customFormat="1" ht="30" customHeight="1" spans="1:15">
      <c r="A10" s="95">
        <v>9</v>
      </c>
      <c r="B10" s="96" t="s">
        <v>14</v>
      </c>
      <c r="C10" s="96" t="s">
        <v>391</v>
      </c>
      <c r="D10" s="97" t="s">
        <v>392</v>
      </c>
      <c r="E10" s="98">
        <f>DATE(2026,5,14)</f>
        <v>46156</v>
      </c>
      <c r="F10" s="96" t="s">
        <v>393</v>
      </c>
      <c r="G10" s="97" t="s">
        <v>63</v>
      </c>
      <c r="H10" s="95"/>
      <c r="I10" s="95"/>
      <c r="J10" s="95"/>
      <c r="K10" s="95"/>
      <c r="L10" s="95"/>
      <c r="M10" s="96" t="s">
        <v>361</v>
      </c>
      <c r="N10" s="99" t="s">
        <v>394</v>
      </c>
      <c r="O10" s="99"/>
    </row>
    <row r="11" s="89" customFormat="1" ht="30" customHeight="1" spans="1:15">
      <c r="A11" s="95">
        <v>10</v>
      </c>
      <c r="B11" s="96" t="s">
        <v>14</v>
      </c>
      <c r="C11" s="96" t="s">
        <v>395</v>
      </c>
      <c r="D11" s="97" t="s">
        <v>396</v>
      </c>
      <c r="E11" s="98">
        <f>DATE(2026,6,1)</f>
        <v>46174</v>
      </c>
      <c r="F11" s="100" t="s">
        <v>397</v>
      </c>
      <c r="G11" s="97" t="s">
        <v>335</v>
      </c>
      <c r="H11" s="95"/>
      <c r="I11" s="95"/>
      <c r="J11" s="95"/>
      <c r="K11" s="95"/>
      <c r="L11" s="95"/>
      <c r="M11" s="96" t="s">
        <v>361</v>
      </c>
      <c r="N11" s="99" t="s">
        <v>398</v>
      </c>
      <c r="O11" s="99"/>
    </row>
    <row r="12" s="89" customFormat="1" ht="30" customHeight="1" spans="1:15">
      <c r="A12" s="95">
        <v>11</v>
      </c>
      <c r="B12" s="96" t="s">
        <v>14</v>
      </c>
      <c r="C12" s="96" t="s">
        <v>399</v>
      </c>
      <c r="D12" s="97" t="s">
        <v>400</v>
      </c>
      <c r="E12" s="98">
        <f>DATE(2026,6,12)</f>
        <v>46185</v>
      </c>
      <c r="F12" s="100" t="s">
        <v>401</v>
      </c>
      <c r="G12" s="97" t="s">
        <v>301</v>
      </c>
      <c r="H12" s="95"/>
      <c r="I12" s="95"/>
      <c r="J12" s="95"/>
      <c r="K12" s="95"/>
      <c r="L12" s="95"/>
      <c r="M12" s="96" t="s">
        <v>402</v>
      </c>
      <c r="N12" s="101" t="s">
        <v>403</v>
      </c>
      <c r="O12" s="99"/>
    </row>
    <row r="13" s="89" customFormat="1" ht="30" customHeight="1" spans="1:15">
      <c r="A13" s="95">
        <v>12</v>
      </c>
      <c r="B13" s="96" t="s">
        <v>14</v>
      </c>
      <c r="C13" s="96" t="s">
        <v>404</v>
      </c>
      <c r="D13" s="97" t="s">
        <v>405</v>
      </c>
      <c r="E13" s="98">
        <f t="shared" ref="E13:E15" si="0">DATE(2026,6,19)</f>
        <v>46192</v>
      </c>
      <c r="F13" s="100" t="s">
        <v>406</v>
      </c>
      <c r="G13" s="97" t="s">
        <v>63</v>
      </c>
      <c r="H13" s="95"/>
      <c r="I13" s="95"/>
      <c r="J13" s="95"/>
      <c r="K13" s="95"/>
      <c r="L13" s="95"/>
      <c r="M13" s="96" t="s">
        <v>402</v>
      </c>
      <c r="N13" s="99" t="s">
        <v>407</v>
      </c>
      <c r="O13" s="99"/>
    </row>
    <row r="14" s="89" customFormat="1" ht="30" customHeight="1" spans="1:15">
      <c r="A14" s="102">
        <v>13</v>
      </c>
      <c r="B14" s="103" t="s">
        <v>14</v>
      </c>
      <c r="C14" s="103" t="s">
        <v>408</v>
      </c>
      <c r="D14" s="103" t="s">
        <v>409</v>
      </c>
      <c r="E14" s="104">
        <f t="shared" si="0"/>
        <v>46192</v>
      </c>
      <c r="F14" s="105" t="s">
        <v>406</v>
      </c>
      <c r="G14" s="103" t="s">
        <v>31</v>
      </c>
      <c r="H14" s="95"/>
      <c r="I14" s="95"/>
      <c r="J14" s="95"/>
      <c r="K14" s="95"/>
      <c r="L14" s="95"/>
      <c r="M14" s="96" t="s">
        <v>402</v>
      </c>
      <c r="N14" s="101" t="s">
        <v>410</v>
      </c>
      <c r="O14" s="99"/>
    </row>
    <row r="15" s="89" customFormat="1" ht="30" customHeight="1" spans="1:15">
      <c r="A15" s="102">
        <v>14</v>
      </c>
      <c r="B15" s="103" t="s">
        <v>14</v>
      </c>
      <c r="C15" s="103" t="s">
        <v>411</v>
      </c>
      <c r="D15" s="103" t="s">
        <v>412</v>
      </c>
      <c r="E15" s="104">
        <f t="shared" si="0"/>
        <v>46192</v>
      </c>
      <c r="F15" s="105" t="s">
        <v>406</v>
      </c>
      <c r="G15" s="103" t="s">
        <v>340</v>
      </c>
      <c r="H15" s="95"/>
      <c r="I15" s="95"/>
      <c r="J15" s="95"/>
      <c r="K15" s="95"/>
      <c r="L15" s="95"/>
      <c r="M15" s="96" t="s">
        <v>402</v>
      </c>
      <c r="N15" s="99" t="s">
        <v>413</v>
      </c>
      <c r="O15" s="99"/>
    </row>
    <row r="16" s="89" customFormat="1" ht="30" customHeight="1" spans="1:15">
      <c r="A16" s="102">
        <v>15</v>
      </c>
      <c r="B16" s="103" t="s">
        <v>14</v>
      </c>
      <c r="C16" s="103" t="s">
        <v>414</v>
      </c>
      <c r="D16" s="103" t="s">
        <v>415</v>
      </c>
      <c r="E16" s="104">
        <f>DATE(2026,6,24)</f>
        <v>46197</v>
      </c>
      <c r="F16" s="103" t="s">
        <v>416</v>
      </c>
      <c r="G16" s="103" t="s">
        <v>335</v>
      </c>
      <c r="H16" s="95"/>
      <c r="I16" s="95"/>
      <c r="J16" s="95"/>
      <c r="K16" s="95"/>
      <c r="L16" s="95"/>
      <c r="M16" s="96" t="s">
        <v>402</v>
      </c>
      <c r="N16" s="99" t="s">
        <v>417</v>
      </c>
      <c r="O16" s="99"/>
    </row>
    <row r="17" s="89" customFormat="1" ht="30" customHeight="1" spans="1:15">
      <c r="A17" s="102">
        <v>16</v>
      </c>
      <c r="B17" s="103" t="s">
        <v>14</v>
      </c>
      <c r="C17" s="103" t="s">
        <v>418</v>
      </c>
      <c r="D17" s="103" t="s">
        <v>419</v>
      </c>
      <c r="E17" s="104">
        <f>DATE(2026,6,24)</f>
        <v>46197</v>
      </c>
      <c r="F17" s="103" t="s">
        <v>420</v>
      </c>
      <c r="G17" s="103" t="s">
        <v>421</v>
      </c>
      <c r="H17" s="95"/>
      <c r="I17" s="95"/>
      <c r="J17" s="95"/>
      <c r="K17" s="95"/>
      <c r="L17" s="95"/>
      <c r="M17" s="96" t="s">
        <v>402</v>
      </c>
      <c r="N17" s="99" t="s">
        <v>422</v>
      </c>
      <c r="O17" s="99"/>
    </row>
    <row r="18" s="89" customFormat="1" ht="30" customHeight="1" spans="1:15">
      <c r="A18" s="102">
        <v>17</v>
      </c>
      <c r="B18" s="103" t="s">
        <v>59</v>
      </c>
      <c r="C18" s="103" t="s">
        <v>423</v>
      </c>
      <c r="D18" s="103" t="s">
        <v>424</v>
      </c>
      <c r="E18" s="104">
        <v>46199</v>
      </c>
      <c r="F18" s="103" t="s">
        <v>420</v>
      </c>
      <c r="G18" s="103" t="s">
        <v>340</v>
      </c>
      <c r="H18" s="95"/>
      <c r="I18" s="95"/>
      <c r="J18" s="95"/>
      <c r="K18" s="95"/>
      <c r="L18" s="95"/>
      <c r="M18" s="96" t="s">
        <v>402</v>
      </c>
      <c r="N18" s="99" t="s">
        <v>425</v>
      </c>
      <c r="O18" s="99"/>
    </row>
    <row r="19" s="89" customFormat="1" ht="30" customHeight="1" spans="1:15">
      <c r="A19" s="102">
        <v>18</v>
      </c>
      <c r="B19" s="103" t="s">
        <v>14</v>
      </c>
      <c r="C19" s="103" t="s">
        <v>426</v>
      </c>
      <c r="D19" s="103" t="s">
        <v>427</v>
      </c>
      <c r="E19" s="104">
        <v>46204</v>
      </c>
      <c r="F19" s="103" t="s">
        <v>428</v>
      </c>
      <c r="G19" s="103" t="s">
        <v>429</v>
      </c>
      <c r="H19" s="95"/>
      <c r="I19" s="95"/>
      <c r="J19" s="95"/>
      <c r="K19" s="95"/>
      <c r="L19" s="95"/>
      <c r="M19" s="96" t="s">
        <v>402</v>
      </c>
      <c r="N19" s="99" t="s">
        <v>430</v>
      </c>
      <c r="O19" s="99"/>
    </row>
    <row r="20" s="89" customFormat="1" ht="30" customHeight="1" spans="1:15">
      <c r="A20" s="102">
        <v>19</v>
      </c>
      <c r="B20" s="103" t="s">
        <v>14</v>
      </c>
      <c r="C20" s="103" t="s">
        <v>431</v>
      </c>
      <c r="D20" s="103" t="s">
        <v>432</v>
      </c>
      <c r="E20" s="104">
        <v>46209</v>
      </c>
      <c r="F20" s="103" t="s">
        <v>433</v>
      </c>
      <c r="G20" s="103" t="s">
        <v>312</v>
      </c>
      <c r="H20" s="95"/>
      <c r="I20" s="95"/>
      <c r="J20" s="95"/>
      <c r="K20" s="95"/>
      <c r="L20" s="95"/>
      <c r="M20" s="96" t="s">
        <v>402</v>
      </c>
      <c r="N20" s="99" t="s">
        <v>434</v>
      </c>
      <c r="O20" s="99"/>
    </row>
    <row r="21" s="49" customFormat="1" ht="23" customHeight="1" spans="1:15">
      <c r="A21" s="102">
        <v>20</v>
      </c>
      <c r="B21" s="103" t="s">
        <v>14</v>
      </c>
      <c r="C21" s="106" t="s">
        <v>435</v>
      </c>
      <c r="D21" s="107" t="s">
        <v>436</v>
      </c>
      <c r="E21" s="104">
        <v>46218</v>
      </c>
      <c r="F21" s="108">
        <v>46234</v>
      </c>
      <c r="G21" s="103" t="s">
        <v>18</v>
      </c>
    </row>
  </sheetData>
  <dataValidations count="1">
    <dataValidation type="list" allowBlank="1" showInputMessage="1" showErrorMessage="1" sqref="G2:G21">
      <formula1>"临时用电,起重吊装,脚手架及平台,高处作业,孔洞临边防护,劳动防护,人员行为,环境保护,危化品管理,职业健康,物项存放,文明施工,机械器具,消防与动火,无证作业,其他,有限空间作业,射线探伤作业,班组建设,应急,交通运输,安全通道,作业交底,施工方案"</formula1>
    </dataValidation>
  </dataValidation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95"/>
  <sheetViews>
    <sheetView workbookViewId="0">
      <selection activeCell="A1" sqref="$A1:$XFD95"/>
    </sheetView>
  </sheetViews>
  <sheetFormatPr defaultColWidth="9" defaultRowHeight="13.5"/>
  <sheetData>
    <row r="1" s="29" customFormat="1" ht="27" customHeight="1" spans="1:16">
      <c r="A1" s="1" t="s">
        <v>0</v>
      </c>
      <c r="B1" s="2" t="s">
        <v>1</v>
      </c>
      <c r="C1" s="2" t="s">
        <v>437</v>
      </c>
      <c r="D1" s="2" t="s">
        <v>3</v>
      </c>
      <c r="E1" s="2" t="s">
        <v>4</v>
      </c>
      <c r="F1" s="3" t="s">
        <v>6</v>
      </c>
      <c r="G1" s="2" t="s">
        <v>7</v>
      </c>
      <c r="H1" s="50" t="s">
        <v>5</v>
      </c>
      <c r="I1" s="2" t="s">
        <v>8</v>
      </c>
      <c r="J1" s="4" t="s">
        <v>9</v>
      </c>
      <c r="K1" s="4" t="s">
        <v>10</v>
      </c>
      <c r="L1" s="2" t="s">
        <v>11</v>
      </c>
      <c r="M1" s="2" t="s">
        <v>12</v>
      </c>
      <c r="N1" s="2" t="s">
        <v>13</v>
      </c>
      <c r="O1" s="5" t="s">
        <v>225</v>
      </c>
      <c r="P1" s="51"/>
    </row>
    <row r="2" s="29" customFormat="1" ht="27" hidden="1" customHeight="1" spans="1:16">
      <c r="A2" s="52">
        <v>1</v>
      </c>
      <c r="B2" s="53" t="s">
        <v>14</v>
      </c>
      <c r="C2" s="53" t="s">
        <v>438</v>
      </c>
      <c r="D2" s="54" t="s">
        <v>439</v>
      </c>
      <c r="E2" s="54" t="s">
        <v>440</v>
      </c>
      <c r="F2" s="55">
        <v>45670</v>
      </c>
      <c r="G2" s="56">
        <v>45679</v>
      </c>
      <c r="H2" s="56"/>
      <c r="I2" s="53" t="s">
        <v>78</v>
      </c>
      <c r="J2" s="53" t="s">
        <v>184</v>
      </c>
      <c r="K2" s="53" t="s">
        <v>297</v>
      </c>
      <c r="L2" s="53"/>
      <c r="M2" s="53" t="s">
        <v>441</v>
      </c>
      <c r="N2" s="11" t="s">
        <v>23</v>
      </c>
      <c r="O2" s="57"/>
      <c r="P2" s="58"/>
    </row>
    <row r="3" s="29" customFormat="1" ht="27" hidden="1" customHeight="1" spans="1:16">
      <c r="A3" s="52">
        <v>2</v>
      </c>
      <c r="B3" s="53" t="s">
        <v>14</v>
      </c>
      <c r="C3" s="53" t="s">
        <v>438</v>
      </c>
      <c r="D3" s="54" t="s">
        <v>442</v>
      </c>
      <c r="E3" s="54" t="s">
        <v>443</v>
      </c>
      <c r="F3" s="55">
        <v>45714</v>
      </c>
      <c r="G3" s="56">
        <v>45734</v>
      </c>
      <c r="H3" s="56"/>
      <c r="I3" s="53" t="s">
        <v>78</v>
      </c>
      <c r="J3" s="53" t="s">
        <v>184</v>
      </c>
      <c r="K3" s="53" t="s">
        <v>444</v>
      </c>
      <c r="L3" s="53"/>
      <c r="M3" s="53" t="s">
        <v>441</v>
      </c>
      <c r="N3" s="11" t="s">
        <v>23</v>
      </c>
      <c r="O3" s="57"/>
      <c r="P3" s="59"/>
    </row>
    <row r="4" s="49" customFormat="1" ht="27" hidden="1" customHeight="1" spans="1:16">
      <c r="A4" s="52">
        <v>3</v>
      </c>
      <c r="B4" s="60" t="s">
        <v>14</v>
      </c>
      <c r="C4" s="60" t="s">
        <v>445</v>
      </c>
      <c r="D4" s="61" t="s">
        <v>446</v>
      </c>
      <c r="E4" s="61" t="s">
        <v>447</v>
      </c>
      <c r="F4" s="56">
        <v>45728</v>
      </c>
      <c r="G4" s="56">
        <v>45736</v>
      </c>
      <c r="H4" s="56"/>
      <c r="I4" s="60" t="s">
        <v>78</v>
      </c>
      <c r="J4" s="60" t="s">
        <v>123</v>
      </c>
      <c r="K4" s="60" t="s">
        <v>122</v>
      </c>
      <c r="L4" s="60"/>
      <c r="M4" s="62" t="s">
        <v>448</v>
      </c>
      <c r="N4" s="62" t="s">
        <v>23</v>
      </c>
      <c r="O4" s="63"/>
      <c r="P4" s="59"/>
    </row>
    <row r="5" s="49" customFormat="1" ht="37" hidden="1" customHeight="1" spans="1:16">
      <c r="A5" s="52">
        <v>4</v>
      </c>
      <c r="B5" s="52" t="s">
        <v>14</v>
      </c>
      <c r="C5" s="53" t="s">
        <v>445</v>
      </c>
      <c r="D5" s="64" t="s">
        <v>449</v>
      </c>
      <c r="E5" s="64" t="s">
        <v>450</v>
      </c>
      <c r="F5" s="55">
        <v>45791</v>
      </c>
      <c r="G5" s="65">
        <v>45807</v>
      </c>
      <c r="H5" s="65"/>
      <c r="I5" s="53" t="s">
        <v>78</v>
      </c>
      <c r="J5" s="53" t="s">
        <v>123</v>
      </c>
      <c r="K5" s="53" t="s">
        <v>122</v>
      </c>
      <c r="L5" s="53"/>
      <c r="M5" s="11" t="s">
        <v>448</v>
      </c>
      <c r="N5" s="62" t="s">
        <v>23</v>
      </c>
      <c r="O5" s="66"/>
      <c r="P5" s="59"/>
    </row>
    <row r="6" s="49" customFormat="1" ht="43" hidden="1" customHeight="1" spans="1:16">
      <c r="A6" s="52">
        <v>5</v>
      </c>
      <c r="B6" s="52" t="s">
        <v>451</v>
      </c>
      <c r="C6" s="52" t="s">
        <v>28</v>
      </c>
      <c r="D6" s="64" t="s">
        <v>452</v>
      </c>
      <c r="E6" s="64" t="s">
        <v>453</v>
      </c>
      <c r="F6" s="55">
        <v>45797</v>
      </c>
      <c r="G6" s="65">
        <v>45808</v>
      </c>
      <c r="H6" s="65"/>
      <c r="I6" s="53" t="s">
        <v>78</v>
      </c>
      <c r="J6" s="52" t="s">
        <v>454</v>
      </c>
      <c r="K6" s="52" t="s">
        <v>455</v>
      </c>
      <c r="L6" s="52"/>
      <c r="M6" s="52" t="s">
        <v>19</v>
      </c>
      <c r="N6" s="62" t="s">
        <v>23</v>
      </c>
      <c r="O6" s="66"/>
      <c r="P6" s="59"/>
    </row>
    <row r="7" s="49" customFormat="1" ht="27" hidden="1" customHeight="1" spans="1:16">
      <c r="A7" s="52">
        <v>6</v>
      </c>
      <c r="B7" s="67" t="s">
        <v>14</v>
      </c>
      <c r="C7" s="68" t="s">
        <v>53</v>
      </c>
      <c r="D7" s="69" t="s">
        <v>456</v>
      </c>
      <c r="E7" s="70" t="s">
        <v>457</v>
      </c>
      <c r="F7" s="71">
        <v>45825</v>
      </c>
      <c r="G7" s="72">
        <v>45839</v>
      </c>
      <c r="H7" s="72"/>
      <c r="I7" s="68" t="s">
        <v>48</v>
      </c>
      <c r="J7" s="68" t="s">
        <v>188</v>
      </c>
      <c r="K7" s="68" t="s">
        <v>458</v>
      </c>
      <c r="L7" s="68"/>
      <c r="M7" s="68"/>
      <c r="N7" s="62" t="s">
        <v>23</v>
      </c>
      <c r="O7" s="73"/>
      <c r="P7" s="59"/>
    </row>
    <row r="8" s="29" customFormat="1" ht="40" hidden="1" customHeight="1" spans="1:16">
      <c r="A8" s="52">
        <v>7</v>
      </c>
      <c r="B8" s="67" t="s">
        <v>14</v>
      </c>
      <c r="C8" s="68" t="s">
        <v>459</v>
      </c>
      <c r="D8" s="70" t="s">
        <v>460</v>
      </c>
      <c r="E8" s="70" t="s">
        <v>461</v>
      </c>
      <c r="F8" s="71">
        <v>45833</v>
      </c>
      <c r="G8" s="72">
        <v>45847</v>
      </c>
      <c r="H8" s="74"/>
      <c r="I8" s="53" t="s">
        <v>78</v>
      </c>
      <c r="J8" s="53" t="s">
        <v>184</v>
      </c>
      <c r="K8" s="75" t="s">
        <v>462</v>
      </c>
      <c r="L8" s="75"/>
      <c r="M8" s="68"/>
      <c r="N8" s="62" t="s">
        <v>23</v>
      </c>
      <c r="O8" s="73"/>
      <c r="P8" s="76" t="s">
        <v>463</v>
      </c>
    </row>
    <row r="9" s="29" customFormat="1" ht="27" hidden="1" customHeight="1" spans="1:16">
      <c r="A9" s="52">
        <v>8</v>
      </c>
      <c r="B9" s="67" t="s">
        <v>14</v>
      </c>
      <c r="C9" s="68" t="s">
        <v>60</v>
      </c>
      <c r="D9" s="70" t="s">
        <v>464</v>
      </c>
      <c r="E9" s="70" t="s">
        <v>465</v>
      </c>
      <c r="F9" s="71">
        <v>45842</v>
      </c>
      <c r="G9" s="72">
        <v>45853</v>
      </c>
      <c r="H9" s="72"/>
      <c r="I9" s="68" t="s">
        <v>48</v>
      </c>
      <c r="J9" s="68" t="s">
        <v>188</v>
      </c>
      <c r="K9" s="68" t="s">
        <v>466</v>
      </c>
      <c r="L9" s="68"/>
      <c r="M9" s="68" t="s">
        <v>19</v>
      </c>
      <c r="N9" s="62" t="s">
        <v>23</v>
      </c>
      <c r="O9" s="73"/>
      <c r="P9" s="76" t="s">
        <v>463</v>
      </c>
    </row>
    <row r="10" s="29" customFormat="1" ht="27" hidden="1" customHeight="1" spans="1:16">
      <c r="A10" s="52">
        <v>9</v>
      </c>
      <c r="B10" s="67" t="s">
        <v>14</v>
      </c>
      <c r="C10" s="68" t="s">
        <v>445</v>
      </c>
      <c r="D10" s="70" t="s">
        <v>467</v>
      </c>
      <c r="E10" s="70" t="s">
        <v>468</v>
      </c>
      <c r="F10" s="71">
        <v>45866</v>
      </c>
      <c r="G10" s="71">
        <v>45889</v>
      </c>
      <c r="H10" s="71"/>
      <c r="I10" s="68" t="s">
        <v>122</v>
      </c>
      <c r="J10" s="53" t="s">
        <v>123</v>
      </c>
      <c r="K10" s="53" t="s">
        <v>122</v>
      </c>
      <c r="L10" s="53"/>
      <c r="M10" s="11" t="s">
        <v>19</v>
      </c>
      <c r="N10" s="62" t="s">
        <v>23</v>
      </c>
      <c r="O10" s="73"/>
      <c r="P10" s="76" t="s">
        <v>463</v>
      </c>
    </row>
    <row r="11" s="29" customFormat="1" ht="27" hidden="1" customHeight="1" spans="1:16">
      <c r="A11" s="52">
        <v>10</v>
      </c>
      <c r="B11" s="67" t="s">
        <v>14</v>
      </c>
      <c r="C11" s="68" t="s">
        <v>469</v>
      </c>
      <c r="D11" s="70" t="s">
        <v>470</v>
      </c>
      <c r="E11" s="70" t="s">
        <v>471</v>
      </c>
      <c r="F11" s="71">
        <v>45877</v>
      </c>
      <c r="G11" s="71">
        <v>45891</v>
      </c>
      <c r="H11" s="71"/>
      <c r="I11" s="68" t="s">
        <v>57</v>
      </c>
      <c r="J11" s="68" t="s">
        <v>184</v>
      </c>
      <c r="K11" s="68" t="s">
        <v>166</v>
      </c>
      <c r="L11" s="68"/>
      <c r="M11" s="68" t="s">
        <v>19</v>
      </c>
      <c r="N11" s="62" t="s">
        <v>23</v>
      </c>
      <c r="O11" s="73"/>
      <c r="P11" s="76" t="s">
        <v>463</v>
      </c>
    </row>
    <row r="12" s="29" customFormat="1" ht="27" hidden="1" customHeight="1" spans="1:16">
      <c r="A12" s="52">
        <v>11</v>
      </c>
      <c r="B12" s="67" t="s">
        <v>14</v>
      </c>
      <c r="C12" s="68" t="s">
        <v>24</v>
      </c>
      <c r="D12" s="70" t="s">
        <v>472</v>
      </c>
      <c r="E12" s="70" t="s">
        <v>473</v>
      </c>
      <c r="F12" s="71">
        <v>45888</v>
      </c>
      <c r="G12" s="71">
        <v>45900</v>
      </c>
      <c r="H12" s="71"/>
      <c r="I12" s="68" t="s">
        <v>296</v>
      </c>
      <c r="J12" s="68" t="s">
        <v>474</v>
      </c>
      <c r="K12" s="68" t="s">
        <v>475</v>
      </c>
      <c r="L12" s="68"/>
      <c r="M12" s="68" t="s">
        <v>19</v>
      </c>
      <c r="N12" s="62" t="s">
        <v>23</v>
      </c>
      <c r="O12" s="73"/>
      <c r="P12" s="59"/>
    </row>
    <row r="13" s="29" customFormat="1" ht="27" hidden="1" customHeight="1" spans="1:16">
      <c r="A13" s="52">
        <v>12</v>
      </c>
      <c r="B13" s="67" t="s">
        <v>14</v>
      </c>
      <c r="C13" s="68" t="s">
        <v>24</v>
      </c>
      <c r="D13" s="70" t="s">
        <v>476</v>
      </c>
      <c r="E13" s="70" t="s">
        <v>477</v>
      </c>
      <c r="F13" s="71">
        <v>45910</v>
      </c>
      <c r="G13" s="71">
        <v>45924</v>
      </c>
      <c r="H13" s="71"/>
      <c r="I13" s="68" t="s">
        <v>57</v>
      </c>
      <c r="J13" s="68" t="s">
        <v>184</v>
      </c>
      <c r="K13" s="68" t="s">
        <v>478</v>
      </c>
      <c r="L13" s="68"/>
      <c r="M13" s="68" t="s">
        <v>479</v>
      </c>
      <c r="N13" s="62" t="s">
        <v>23</v>
      </c>
      <c r="O13" s="73" t="s">
        <v>307</v>
      </c>
      <c r="P13" s="76" t="s">
        <v>463</v>
      </c>
    </row>
    <row r="14" s="29" customFormat="1" ht="27" hidden="1" customHeight="1" spans="1:16">
      <c r="A14" s="52">
        <v>13</v>
      </c>
      <c r="B14" s="67" t="s">
        <v>14</v>
      </c>
      <c r="C14" s="68" t="s">
        <v>459</v>
      </c>
      <c r="D14" s="70" t="s">
        <v>480</v>
      </c>
      <c r="E14" s="70" t="s">
        <v>481</v>
      </c>
      <c r="F14" s="71">
        <v>45911</v>
      </c>
      <c r="G14" s="71">
        <v>45923</v>
      </c>
      <c r="H14" s="71"/>
      <c r="I14" s="68" t="s">
        <v>48</v>
      </c>
      <c r="J14" s="68" t="s">
        <v>188</v>
      </c>
      <c r="K14" s="68" t="s">
        <v>482</v>
      </c>
      <c r="L14" s="68"/>
      <c r="M14" s="68" t="s">
        <v>19</v>
      </c>
      <c r="N14" s="68" t="s">
        <v>23</v>
      </c>
      <c r="O14" s="73" t="s">
        <v>483</v>
      </c>
      <c r="P14" s="59"/>
    </row>
    <row r="15" s="29" customFormat="1" ht="30" hidden="1" customHeight="1" spans="1:16">
      <c r="A15" s="52">
        <v>14</v>
      </c>
      <c r="B15" s="67" t="s">
        <v>14</v>
      </c>
      <c r="C15" s="68" t="s">
        <v>445</v>
      </c>
      <c r="D15" s="70" t="s">
        <v>484</v>
      </c>
      <c r="E15" s="70" t="s">
        <v>485</v>
      </c>
      <c r="F15" s="71">
        <v>45918</v>
      </c>
      <c r="G15" s="71">
        <v>45930</v>
      </c>
      <c r="H15" s="71"/>
      <c r="I15" s="75" t="s">
        <v>486</v>
      </c>
      <c r="J15" s="75" t="s">
        <v>487</v>
      </c>
      <c r="K15" s="68" t="s">
        <v>488</v>
      </c>
      <c r="L15" s="68"/>
      <c r="M15" s="68" t="s">
        <v>19</v>
      </c>
      <c r="N15" s="68" t="s">
        <v>23</v>
      </c>
      <c r="O15" s="73" t="s">
        <v>489</v>
      </c>
      <c r="P15" s="59"/>
    </row>
    <row r="16" s="29" customFormat="1" ht="33" hidden="1" customHeight="1" spans="1:16">
      <c r="A16" s="52">
        <v>15</v>
      </c>
      <c r="B16" s="67" t="s">
        <v>14</v>
      </c>
      <c r="C16" s="68" t="s">
        <v>490</v>
      </c>
      <c r="D16" s="70" t="s">
        <v>491</v>
      </c>
      <c r="E16" s="77" t="s">
        <v>492</v>
      </c>
      <c r="F16" s="71">
        <v>45918</v>
      </c>
      <c r="G16" s="71">
        <v>45925</v>
      </c>
      <c r="H16" s="71"/>
      <c r="I16" s="68" t="s">
        <v>57</v>
      </c>
      <c r="J16" s="68" t="s">
        <v>184</v>
      </c>
      <c r="K16" s="68" t="s">
        <v>166</v>
      </c>
      <c r="L16" s="68"/>
      <c r="M16" s="68" t="s">
        <v>19</v>
      </c>
      <c r="N16" s="68" t="s">
        <v>23</v>
      </c>
      <c r="O16" s="73" t="s">
        <v>493</v>
      </c>
      <c r="P16" s="59"/>
    </row>
    <row r="17" s="29" customFormat="1" ht="60" hidden="1" customHeight="1" spans="1:16">
      <c r="A17" s="52">
        <v>16</v>
      </c>
      <c r="B17" s="67" t="s">
        <v>14</v>
      </c>
      <c r="C17" s="68" t="s">
        <v>28</v>
      </c>
      <c r="D17" s="70" t="s">
        <v>494</v>
      </c>
      <c r="E17" s="77" t="s">
        <v>495</v>
      </c>
      <c r="F17" s="71">
        <v>45930</v>
      </c>
      <c r="G17" s="71">
        <v>45945</v>
      </c>
      <c r="H17" s="71"/>
      <c r="I17" s="75" t="s">
        <v>496</v>
      </c>
      <c r="J17" s="75" t="s">
        <v>497</v>
      </c>
      <c r="K17" s="68" t="s">
        <v>498</v>
      </c>
      <c r="L17" s="68"/>
      <c r="M17" s="68" t="s">
        <v>19</v>
      </c>
      <c r="N17" s="68" t="s">
        <v>23</v>
      </c>
      <c r="O17" s="73" t="s">
        <v>499</v>
      </c>
      <c r="P17" s="76" t="s">
        <v>463</v>
      </c>
    </row>
    <row r="18" s="29" customFormat="1" ht="27" hidden="1" customHeight="1" spans="1:16">
      <c r="A18" s="52">
        <v>17</v>
      </c>
      <c r="B18" s="67" t="s">
        <v>14</v>
      </c>
      <c r="C18" s="68" t="s">
        <v>24</v>
      </c>
      <c r="D18" s="70" t="s">
        <v>500</v>
      </c>
      <c r="E18" s="77" t="s">
        <v>501</v>
      </c>
      <c r="F18" s="71">
        <v>45931</v>
      </c>
      <c r="G18" s="71">
        <v>45947</v>
      </c>
      <c r="H18" s="71"/>
      <c r="I18" s="68" t="s">
        <v>57</v>
      </c>
      <c r="J18" s="68" t="s">
        <v>184</v>
      </c>
      <c r="K18" s="68" t="s">
        <v>166</v>
      </c>
      <c r="L18" s="68"/>
      <c r="M18" s="68" t="s">
        <v>19</v>
      </c>
      <c r="N18" s="68" t="s">
        <v>23</v>
      </c>
      <c r="O18" s="73" t="s">
        <v>502</v>
      </c>
      <c r="P18" s="59"/>
    </row>
    <row r="19" s="29" customFormat="1" ht="27" hidden="1" customHeight="1" spans="1:16">
      <c r="A19" s="52">
        <v>18</v>
      </c>
      <c r="B19" s="67" t="s">
        <v>14</v>
      </c>
      <c r="C19" s="68" t="s">
        <v>24</v>
      </c>
      <c r="D19" s="70" t="s">
        <v>503</v>
      </c>
      <c r="E19" s="77" t="s">
        <v>504</v>
      </c>
      <c r="F19" s="71">
        <v>45940</v>
      </c>
      <c r="G19" s="71">
        <v>45954</v>
      </c>
      <c r="H19" s="71"/>
      <c r="I19" s="68" t="s">
        <v>57</v>
      </c>
      <c r="J19" s="68" t="s">
        <v>184</v>
      </c>
      <c r="K19" s="68" t="s">
        <v>166</v>
      </c>
      <c r="L19" s="68"/>
      <c r="M19" s="68" t="s">
        <v>19</v>
      </c>
      <c r="N19" s="68" t="s">
        <v>23</v>
      </c>
      <c r="O19" s="73" t="s">
        <v>505</v>
      </c>
      <c r="P19" s="59"/>
    </row>
    <row r="20" s="29" customFormat="1" ht="27" hidden="1" customHeight="1" spans="1:16">
      <c r="A20" s="52">
        <v>19</v>
      </c>
      <c r="B20" s="67" t="s">
        <v>14</v>
      </c>
      <c r="C20" s="68" t="s">
        <v>24</v>
      </c>
      <c r="D20" s="70" t="s">
        <v>506</v>
      </c>
      <c r="E20" s="77" t="s">
        <v>507</v>
      </c>
      <c r="F20" s="71">
        <v>45959</v>
      </c>
      <c r="G20" s="71">
        <v>45973</v>
      </c>
      <c r="H20" s="71"/>
      <c r="I20" s="68" t="s">
        <v>128</v>
      </c>
      <c r="J20" s="68" t="s">
        <v>260</v>
      </c>
      <c r="K20" s="68" t="s">
        <v>478</v>
      </c>
      <c r="L20" s="68"/>
      <c r="M20" s="68" t="s">
        <v>19</v>
      </c>
      <c r="N20" s="68" t="s">
        <v>23</v>
      </c>
      <c r="O20" s="73" t="s">
        <v>505</v>
      </c>
      <c r="P20" s="59"/>
    </row>
    <row r="21" s="29" customFormat="1" ht="27" hidden="1" customHeight="1" spans="1:16">
      <c r="A21" s="78">
        <v>20</v>
      </c>
      <c r="B21" s="60" t="s">
        <v>14</v>
      </c>
      <c r="C21" s="79" t="s">
        <v>445</v>
      </c>
      <c r="D21" s="80" t="s">
        <v>508</v>
      </c>
      <c r="E21" s="81" t="s">
        <v>509</v>
      </c>
      <c r="F21" s="82">
        <v>45965</v>
      </c>
      <c r="G21" s="82">
        <v>45975</v>
      </c>
      <c r="H21" s="82"/>
      <c r="I21" s="79" t="s">
        <v>122</v>
      </c>
      <c r="J21" s="79" t="s">
        <v>123</v>
      </c>
      <c r="K21" s="79" t="s">
        <v>122</v>
      </c>
      <c r="L21" s="79"/>
      <c r="M21" s="79" t="s">
        <v>19</v>
      </c>
      <c r="N21" s="68" t="s">
        <v>23</v>
      </c>
      <c r="O21" s="73" t="s">
        <v>489</v>
      </c>
      <c r="P21" s="59"/>
    </row>
    <row r="22" s="29" customFormat="1" ht="27" hidden="1" customHeight="1" spans="1:16">
      <c r="A22" s="52">
        <v>21</v>
      </c>
      <c r="B22" s="53" t="s">
        <v>14</v>
      </c>
      <c r="C22" s="83" t="s">
        <v>24</v>
      </c>
      <c r="D22" s="84" t="s">
        <v>510</v>
      </c>
      <c r="E22" s="85" t="s">
        <v>511</v>
      </c>
      <c r="F22" s="86">
        <v>45986</v>
      </c>
      <c r="G22" s="86">
        <v>46000</v>
      </c>
      <c r="H22" s="86"/>
      <c r="I22" s="83" t="s">
        <v>57</v>
      </c>
      <c r="J22" s="83" t="s">
        <v>184</v>
      </c>
      <c r="K22" s="83" t="s">
        <v>166</v>
      </c>
      <c r="L22" s="83"/>
      <c r="M22" s="83" t="s">
        <v>19</v>
      </c>
      <c r="N22" s="87" t="s">
        <v>512</v>
      </c>
      <c r="O22" s="73" t="s">
        <v>493</v>
      </c>
      <c r="P22" s="59"/>
    </row>
    <row r="23" s="29" customFormat="1" ht="33" hidden="1" customHeight="1" spans="1:16">
      <c r="A23" s="52">
        <v>22</v>
      </c>
      <c r="B23" s="53" t="s">
        <v>14</v>
      </c>
      <c r="C23" s="83" t="s">
        <v>513</v>
      </c>
      <c r="D23" s="84" t="s">
        <v>514</v>
      </c>
      <c r="E23" s="85" t="s">
        <v>515</v>
      </c>
      <c r="F23" s="86">
        <v>45895</v>
      </c>
      <c r="G23" s="86"/>
      <c r="H23" s="86"/>
      <c r="I23" s="83"/>
      <c r="J23" s="83"/>
      <c r="K23" s="83"/>
      <c r="L23" s="83"/>
      <c r="M23" s="83"/>
      <c r="N23" s="68" t="s">
        <v>23</v>
      </c>
      <c r="O23" s="73"/>
      <c r="P23" s="59"/>
    </row>
    <row r="24" s="29" customFormat="1" ht="33" hidden="1" customHeight="1" spans="1:16">
      <c r="A24" s="52">
        <v>23</v>
      </c>
      <c r="B24" s="53" t="s">
        <v>14</v>
      </c>
      <c r="C24" s="83" t="s">
        <v>513</v>
      </c>
      <c r="D24" s="84" t="s">
        <v>516</v>
      </c>
      <c r="E24" s="85" t="s">
        <v>517</v>
      </c>
      <c r="F24" s="86">
        <v>45896</v>
      </c>
      <c r="G24" s="86"/>
      <c r="H24" s="86"/>
      <c r="I24" s="83"/>
      <c r="J24" s="83"/>
      <c r="K24" s="83"/>
      <c r="L24" s="83"/>
      <c r="M24" s="83"/>
      <c r="N24" s="68" t="s">
        <v>23</v>
      </c>
      <c r="O24" s="73"/>
      <c r="P24" s="59"/>
    </row>
    <row r="25" s="29" customFormat="1" ht="33" hidden="1" customHeight="1" spans="1:16">
      <c r="A25" s="52">
        <v>24</v>
      </c>
      <c r="B25" s="53" t="s">
        <v>14</v>
      </c>
      <c r="C25" s="83" t="s">
        <v>513</v>
      </c>
      <c r="D25" s="84" t="s">
        <v>518</v>
      </c>
      <c r="E25" s="85" t="s">
        <v>519</v>
      </c>
      <c r="F25" s="86">
        <v>45920</v>
      </c>
      <c r="G25" s="86"/>
      <c r="H25" s="86"/>
      <c r="I25" s="83"/>
      <c r="J25" s="83"/>
      <c r="K25" s="83"/>
      <c r="L25" s="83"/>
      <c r="M25" s="83"/>
      <c r="N25" s="68" t="s">
        <v>23</v>
      </c>
      <c r="O25" s="73"/>
      <c r="P25" s="59"/>
    </row>
    <row r="26" s="29" customFormat="1" ht="33" hidden="1" customHeight="1" spans="1:16">
      <c r="A26" s="52">
        <v>25</v>
      </c>
      <c r="B26" s="53" t="s">
        <v>14</v>
      </c>
      <c r="C26" s="83" t="s">
        <v>513</v>
      </c>
      <c r="D26" s="84" t="s">
        <v>520</v>
      </c>
      <c r="E26" s="85" t="s">
        <v>521</v>
      </c>
      <c r="F26" s="86">
        <v>45953</v>
      </c>
      <c r="G26" s="86">
        <v>45980</v>
      </c>
      <c r="H26" s="86"/>
      <c r="I26" s="83"/>
      <c r="J26" s="83"/>
      <c r="K26" s="83"/>
      <c r="L26" s="83"/>
      <c r="M26" s="83"/>
      <c r="N26" s="68" t="s">
        <v>23</v>
      </c>
      <c r="O26" s="73"/>
      <c r="P26" s="59"/>
    </row>
    <row r="27" s="29" customFormat="1" ht="33" hidden="1" customHeight="1" spans="1:16">
      <c r="A27" s="52">
        <v>26</v>
      </c>
      <c r="B27" s="53" t="s">
        <v>14</v>
      </c>
      <c r="C27" s="83" t="s">
        <v>513</v>
      </c>
      <c r="D27" s="84" t="s">
        <v>522</v>
      </c>
      <c r="E27" s="85" t="s">
        <v>523</v>
      </c>
      <c r="F27" s="86">
        <v>45974</v>
      </c>
      <c r="G27" s="86">
        <v>45989</v>
      </c>
      <c r="H27" s="86"/>
      <c r="I27" s="83" t="s">
        <v>57</v>
      </c>
      <c r="J27" s="83"/>
      <c r="K27" s="83"/>
      <c r="L27" s="83"/>
      <c r="M27" s="83"/>
      <c r="N27" s="68" t="s">
        <v>23</v>
      </c>
      <c r="O27" s="73"/>
      <c r="P27" s="59"/>
    </row>
    <row r="28" s="29" customFormat="1" ht="33" hidden="1" customHeight="1" spans="1:16">
      <c r="A28" s="52">
        <v>27</v>
      </c>
      <c r="B28" s="53" t="s">
        <v>14</v>
      </c>
      <c r="C28" s="83" t="s">
        <v>513</v>
      </c>
      <c r="D28" s="84" t="s">
        <v>524</v>
      </c>
      <c r="E28" s="85" t="s">
        <v>525</v>
      </c>
      <c r="F28" s="86">
        <v>45981</v>
      </c>
      <c r="G28" s="86">
        <v>45989</v>
      </c>
      <c r="H28" s="86"/>
      <c r="I28" s="83" t="s">
        <v>122</v>
      </c>
      <c r="J28" s="83"/>
      <c r="K28" s="83"/>
      <c r="L28" s="83"/>
      <c r="M28" s="83"/>
      <c r="N28" s="68" t="s">
        <v>23</v>
      </c>
      <c r="O28" s="73"/>
      <c r="P28" s="59"/>
    </row>
    <row r="29" s="29" customFormat="1" ht="33" hidden="1" customHeight="1" spans="1:16">
      <c r="A29" s="52">
        <v>28</v>
      </c>
      <c r="B29" s="53" t="s">
        <v>14</v>
      </c>
      <c r="C29" s="83" t="s">
        <v>513</v>
      </c>
      <c r="D29" s="84" t="s">
        <v>526</v>
      </c>
      <c r="E29" s="85" t="s">
        <v>527</v>
      </c>
      <c r="F29" s="86">
        <v>46000</v>
      </c>
      <c r="G29" s="86"/>
      <c r="H29" s="86"/>
      <c r="I29" s="83"/>
      <c r="J29" s="83"/>
      <c r="K29" s="83"/>
      <c r="L29" s="83"/>
      <c r="M29" s="83"/>
      <c r="N29" s="68" t="s">
        <v>23</v>
      </c>
      <c r="O29" s="73"/>
      <c r="P29" s="88"/>
    </row>
    <row r="30" s="29" customFormat="1" ht="43" hidden="1" customHeight="1" spans="1:16">
      <c r="A30" s="52">
        <v>29</v>
      </c>
      <c r="B30" s="53" t="s">
        <v>14</v>
      </c>
      <c r="C30" s="83" t="s">
        <v>53</v>
      </c>
      <c r="D30" s="84" t="s">
        <v>528</v>
      </c>
      <c r="E30" s="64" t="s">
        <v>529</v>
      </c>
      <c r="F30" s="86">
        <v>46008</v>
      </c>
      <c r="G30" s="86">
        <v>46016</v>
      </c>
      <c r="H30" s="86"/>
      <c r="I30" s="84" t="s">
        <v>57</v>
      </c>
      <c r="J30" s="52" t="s">
        <v>184</v>
      </c>
      <c r="K30" s="53" t="s">
        <v>275</v>
      </c>
      <c r="L30" s="53"/>
      <c r="M30" s="83"/>
      <c r="N30" s="83" t="s">
        <v>23</v>
      </c>
      <c r="O30" s="52"/>
      <c r="P30" s="88"/>
    </row>
    <row r="31" s="29" customFormat="1" ht="35" hidden="1" customHeight="1" spans="1:16">
      <c r="A31" s="52">
        <v>30</v>
      </c>
      <c r="B31" s="53" t="s">
        <v>14</v>
      </c>
      <c r="C31" s="83" t="s">
        <v>513</v>
      </c>
      <c r="D31" s="84" t="s">
        <v>530</v>
      </c>
      <c r="E31" s="64" t="s">
        <v>531</v>
      </c>
      <c r="F31" s="86">
        <v>46008</v>
      </c>
      <c r="G31" s="74">
        <v>46015</v>
      </c>
      <c r="H31" s="74"/>
      <c r="I31" s="84" t="s">
        <v>532</v>
      </c>
      <c r="J31" s="52" t="s">
        <v>533</v>
      </c>
      <c r="K31" s="53"/>
      <c r="L31" s="53"/>
      <c r="M31" s="83"/>
      <c r="N31" s="83" t="s">
        <v>23</v>
      </c>
      <c r="O31" s="52"/>
      <c r="P31" s="51"/>
    </row>
    <row r="32" s="29" customFormat="1" ht="34" hidden="1" customHeight="1" spans="1:16">
      <c r="A32" s="52">
        <v>31</v>
      </c>
      <c r="B32" s="53" t="s">
        <v>14</v>
      </c>
      <c r="C32" s="83" t="s">
        <v>513</v>
      </c>
      <c r="D32" s="84" t="s">
        <v>534</v>
      </c>
      <c r="E32" s="64" t="s">
        <v>535</v>
      </c>
      <c r="F32" s="86">
        <v>46009</v>
      </c>
      <c r="G32" s="74">
        <v>46022</v>
      </c>
      <c r="H32" s="74"/>
      <c r="I32" s="84" t="s">
        <v>57</v>
      </c>
      <c r="J32" s="52" t="s">
        <v>184</v>
      </c>
      <c r="K32" s="53" t="s">
        <v>275</v>
      </c>
      <c r="L32" s="53"/>
      <c r="M32" s="83"/>
      <c r="N32" s="83" t="s">
        <v>23</v>
      </c>
      <c r="O32" s="52"/>
      <c r="P32" s="51"/>
    </row>
    <row r="33" s="29" customFormat="1" ht="35" hidden="1" customHeight="1" spans="1:16">
      <c r="A33" s="52">
        <v>32</v>
      </c>
      <c r="B33" s="53" t="s">
        <v>14</v>
      </c>
      <c r="C33" s="83" t="s">
        <v>513</v>
      </c>
      <c r="D33" s="84" t="s">
        <v>536</v>
      </c>
      <c r="E33" s="64" t="s">
        <v>537</v>
      </c>
      <c r="F33" s="86">
        <v>46015</v>
      </c>
      <c r="G33" s="74">
        <v>46036</v>
      </c>
      <c r="H33" s="74"/>
      <c r="I33" s="84" t="s">
        <v>57</v>
      </c>
      <c r="J33" s="52" t="s">
        <v>184</v>
      </c>
      <c r="K33" s="53" t="s">
        <v>275</v>
      </c>
      <c r="L33" s="53"/>
      <c r="M33" s="83"/>
      <c r="N33" s="83" t="s">
        <v>23</v>
      </c>
      <c r="O33" s="52"/>
      <c r="P33" s="51"/>
    </row>
    <row r="34" s="29" customFormat="1" ht="37" hidden="1" customHeight="1" spans="1:16">
      <c r="A34" s="52">
        <v>33</v>
      </c>
      <c r="B34" s="53" t="s">
        <v>14</v>
      </c>
      <c r="C34" s="83" t="s">
        <v>513</v>
      </c>
      <c r="D34" s="84" t="s">
        <v>530</v>
      </c>
      <c r="E34" s="64" t="s">
        <v>538</v>
      </c>
      <c r="F34" s="86">
        <v>46015</v>
      </c>
      <c r="G34" s="86">
        <v>46035</v>
      </c>
      <c r="H34" s="86"/>
      <c r="I34" s="84" t="s">
        <v>57</v>
      </c>
      <c r="J34" s="52" t="s">
        <v>184</v>
      </c>
      <c r="K34" s="53" t="s">
        <v>275</v>
      </c>
      <c r="L34" s="53"/>
      <c r="M34" s="83"/>
      <c r="N34" s="83" t="s">
        <v>23</v>
      </c>
      <c r="O34" s="52"/>
      <c r="P34" s="51"/>
    </row>
    <row r="35" s="29" customFormat="1" ht="37" hidden="1" customHeight="1" spans="1:16">
      <c r="A35" s="52">
        <v>34</v>
      </c>
      <c r="B35" s="53" t="s">
        <v>14</v>
      </c>
      <c r="C35" s="83" t="s">
        <v>53</v>
      </c>
      <c r="D35" s="84" t="s">
        <v>539</v>
      </c>
      <c r="E35" s="64" t="s">
        <v>540</v>
      </c>
      <c r="F35" s="86">
        <v>46020</v>
      </c>
      <c r="G35" s="86">
        <v>46031</v>
      </c>
      <c r="H35" s="86"/>
      <c r="I35" s="84" t="s">
        <v>48</v>
      </c>
      <c r="J35" s="52" t="s">
        <v>188</v>
      </c>
      <c r="K35" s="53" t="s">
        <v>541</v>
      </c>
      <c r="L35" s="53"/>
      <c r="M35" s="83"/>
      <c r="N35" s="83" t="s">
        <v>23</v>
      </c>
      <c r="O35" s="52"/>
      <c r="P35" s="51"/>
    </row>
    <row r="36" s="29" customFormat="1" ht="37" customHeight="1" spans="1:16">
      <c r="A36" s="52">
        <v>1</v>
      </c>
      <c r="B36" s="53" t="s">
        <v>14</v>
      </c>
      <c r="C36" s="83" t="s">
        <v>542</v>
      </c>
      <c r="D36" s="84" t="s">
        <v>543</v>
      </c>
      <c r="E36" s="64" t="s">
        <v>544</v>
      </c>
      <c r="F36" s="86">
        <v>46031</v>
      </c>
      <c r="G36" s="86" t="s">
        <v>545</v>
      </c>
      <c r="H36" s="86" t="s">
        <v>47</v>
      </c>
      <c r="I36" s="84" t="s">
        <v>546</v>
      </c>
      <c r="J36" s="52"/>
      <c r="K36" s="53"/>
      <c r="L36" s="53"/>
      <c r="M36" s="83"/>
      <c r="N36" s="83" t="s">
        <v>547</v>
      </c>
      <c r="O36" s="64" t="s">
        <v>548</v>
      </c>
      <c r="P36" s="51"/>
    </row>
    <row r="37" s="29" customFormat="1" ht="37" customHeight="1" spans="1:16">
      <c r="A37" s="52">
        <v>2</v>
      </c>
      <c r="B37" s="53" t="s">
        <v>14</v>
      </c>
      <c r="C37" s="83" t="s">
        <v>542</v>
      </c>
      <c r="D37" s="84" t="s">
        <v>549</v>
      </c>
      <c r="E37" s="64" t="s">
        <v>550</v>
      </c>
      <c r="F37" s="86">
        <v>46049</v>
      </c>
      <c r="G37" s="86" t="s">
        <v>360</v>
      </c>
      <c r="H37" s="86" t="s">
        <v>18</v>
      </c>
      <c r="I37" s="84" t="s">
        <v>48</v>
      </c>
      <c r="J37" s="52"/>
      <c r="K37" s="53"/>
      <c r="L37" s="53"/>
      <c r="M37" s="83"/>
      <c r="N37" s="83" t="s">
        <v>547</v>
      </c>
      <c r="O37" s="64" t="s">
        <v>551</v>
      </c>
      <c r="P37" s="51"/>
    </row>
    <row r="38" s="29" customFormat="1" ht="37" customHeight="1" spans="1:16">
      <c r="A38" s="52">
        <v>3</v>
      </c>
      <c r="B38" s="53" t="s">
        <v>14</v>
      </c>
      <c r="C38" s="83" t="s">
        <v>24</v>
      </c>
      <c r="D38" s="84" t="s">
        <v>552</v>
      </c>
      <c r="E38" s="64" t="s">
        <v>553</v>
      </c>
      <c r="F38" s="86">
        <v>46079</v>
      </c>
      <c r="G38" s="86" t="s">
        <v>554</v>
      </c>
      <c r="H38" s="86" t="s">
        <v>555</v>
      </c>
      <c r="I38" s="84" t="s">
        <v>57</v>
      </c>
      <c r="J38" s="52"/>
      <c r="K38" s="53"/>
      <c r="L38" s="53"/>
      <c r="M38" s="83"/>
      <c r="N38" s="83" t="s">
        <v>547</v>
      </c>
      <c r="O38" s="64" t="s">
        <v>556</v>
      </c>
      <c r="P38" s="51"/>
    </row>
    <row r="39" s="29" customFormat="1" ht="37" customHeight="1" spans="1:16">
      <c r="A39" s="52">
        <v>4</v>
      </c>
      <c r="B39" s="53" t="s">
        <v>14</v>
      </c>
      <c r="C39" s="83" t="s">
        <v>24</v>
      </c>
      <c r="D39" s="84" t="s">
        <v>557</v>
      </c>
      <c r="E39" s="64" t="s">
        <v>558</v>
      </c>
      <c r="F39" s="86">
        <v>46079</v>
      </c>
      <c r="G39" s="86" t="s">
        <v>559</v>
      </c>
      <c r="H39" s="86" t="s">
        <v>560</v>
      </c>
      <c r="I39" s="84" t="s">
        <v>57</v>
      </c>
      <c r="J39" s="52"/>
      <c r="K39" s="53"/>
      <c r="L39" s="53"/>
      <c r="M39" s="83"/>
      <c r="N39" s="83" t="s">
        <v>547</v>
      </c>
      <c r="O39" s="64" t="s">
        <v>561</v>
      </c>
      <c r="P39" s="51"/>
    </row>
    <row r="40" s="29" customFormat="1" ht="37" customHeight="1" spans="1:16">
      <c r="A40" s="52">
        <v>5</v>
      </c>
      <c r="B40" s="53" t="s">
        <v>14</v>
      </c>
      <c r="C40" s="83" t="s">
        <v>562</v>
      </c>
      <c r="D40" s="84" t="s">
        <v>563</v>
      </c>
      <c r="E40" s="64" t="s">
        <v>564</v>
      </c>
      <c r="F40" s="86">
        <v>46079</v>
      </c>
      <c r="G40" s="86" t="s">
        <v>565</v>
      </c>
      <c r="H40" s="86" t="s">
        <v>566</v>
      </c>
      <c r="I40" s="84" t="s">
        <v>57</v>
      </c>
      <c r="J40" s="52"/>
      <c r="K40" s="53"/>
      <c r="L40" s="53"/>
      <c r="M40" s="83"/>
      <c r="N40" s="83" t="s">
        <v>547</v>
      </c>
      <c r="O40" s="64" t="s">
        <v>567</v>
      </c>
      <c r="P40" s="51"/>
    </row>
    <row r="41" s="29" customFormat="1" ht="37" customHeight="1" spans="1:16">
      <c r="A41" s="52">
        <v>6</v>
      </c>
      <c r="B41" s="53" t="s">
        <v>14</v>
      </c>
      <c r="C41" s="83" t="s">
        <v>24</v>
      </c>
      <c r="D41" s="84" t="s">
        <v>568</v>
      </c>
      <c r="E41" s="64" t="s">
        <v>569</v>
      </c>
      <c r="F41" s="86">
        <v>46083</v>
      </c>
      <c r="G41" s="86" t="s">
        <v>570</v>
      </c>
      <c r="H41" s="86" t="s">
        <v>566</v>
      </c>
      <c r="I41" s="84" t="s">
        <v>57</v>
      </c>
      <c r="J41" s="52"/>
      <c r="K41" s="53"/>
      <c r="L41" s="53"/>
      <c r="M41" s="83"/>
      <c r="N41" s="83" t="s">
        <v>547</v>
      </c>
      <c r="O41" s="64" t="s">
        <v>571</v>
      </c>
      <c r="P41" s="51"/>
    </row>
    <row r="42" s="29" customFormat="1" ht="37" customHeight="1" spans="1:16">
      <c r="A42" s="52">
        <v>7</v>
      </c>
      <c r="B42" s="53" t="s">
        <v>14</v>
      </c>
      <c r="C42" s="83" t="s">
        <v>24</v>
      </c>
      <c r="D42" s="84" t="s">
        <v>572</v>
      </c>
      <c r="E42" s="64" t="s">
        <v>573</v>
      </c>
      <c r="F42" s="86">
        <v>46087</v>
      </c>
      <c r="G42" s="86" t="s">
        <v>574</v>
      </c>
      <c r="H42" s="86" t="s">
        <v>335</v>
      </c>
      <c r="I42" s="84" t="s">
        <v>57</v>
      </c>
      <c r="J42" s="52"/>
      <c r="K42" s="53"/>
      <c r="L42" s="53"/>
      <c r="M42" s="83"/>
      <c r="N42" s="83" t="s">
        <v>547</v>
      </c>
      <c r="O42" s="64" t="s">
        <v>575</v>
      </c>
      <c r="P42" s="51"/>
    </row>
    <row r="43" s="29" customFormat="1" ht="37" customHeight="1" spans="1:16">
      <c r="A43" s="52">
        <v>8</v>
      </c>
      <c r="B43" s="53" t="s">
        <v>14</v>
      </c>
      <c r="C43" s="83" t="s">
        <v>24</v>
      </c>
      <c r="D43" s="84" t="s">
        <v>576</v>
      </c>
      <c r="E43" s="64" t="s">
        <v>577</v>
      </c>
      <c r="F43" s="86">
        <v>46093</v>
      </c>
      <c r="G43" s="86" t="s">
        <v>578</v>
      </c>
      <c r="H43" s="86" t="s">
        <v>335</v>
      </c>
      <c r="I43" s="84" t="s">
        <v>128</v>
      </c>
      <c r="J43" s="52"/>
      <c r="K43" s="53"/>
      <c r="L43" s="53"/>
      <c r="M43" s="83"/>
      <c r="N43" s="83" t="s">
        <v>547</v>
      </c>
      <c r="O43" s="64" t="s">
        <v>579</v>
      </c>
      <c r="P43" s="51"/>
    </row>
    <row r="44" s="29" customFormat="1" ht="37" customHeight="1" spans="1:16">
      <c r="A44" s="52">
        <v>9</v>
      </c>
      <c r="B44" s="53" t="s">
        <v>14</v>
      </c>
      <c r="C44" s="83" t="s">
        <v>445</v>
      </c>
      <c r="D44" s="84" t="s">
        <v>580</v>
      </c>
      <c r="E44" s="64" t="s">
        <v>581</v>
      </c>
      <c r="F44" s="86">
        <v>46093</v>
      </c>
      <c r="G44" s="86" t="s">
        <v>582</v>
      </c>
      <c r="H44" s="86" t="s">
        <v>31</v>
      </c>
      <c r="I44" s="84" t="s">
        <v>583</v>
      </c>
      <c r="J44" s="52"/>
      <c r="K44" s="53"/>
      <c r="L44" s="53"/>
      <c r="M44" s="83"/>
      <c r="N44" s="83" t="s">
        <v>547</v>
      </c>
      <c r="O44" s="64" t="s">
        <v>584</v>
      </c>
      <c r="P44" s="51"/>
    </row>
    <row r="45" s="29" customFormat="1" ht="37" customHeight="1" spans="1:16">
      <c r="A45" s="52">
        <v>10</v>
      </c>
      <c r="B45" s="53" t="s">
        <v>14</v>
      </c>
      <c r="C45" s="83" t="s">
        <v>24</v>
      </c>
      <c r="D45" s="84" t="s">
        <v>585</v>
      </c>
      <c r="E45" s="64" t="s">
        <v>586</v>
      </c>
      <c r="F45" s="86">
        <v>46093</v>
      </c>
      <c r="G45" s="86" t="s">
        <v>587</v>
      </c>
      <c r="H45" s="86" t="s">
        <v>335</v>
      </c>
      <c r="I45" s="84" t="s">
        <v>57</v>
      </c>
      <c r="J45" s="52"/>
      <c r="K45" s="53"/>
      <c r="L45" s="53"/>
      <c r="M45" s="83"/>
      <c r="N45" s="83" t="s">
        <v>547</v>
      </c>
      <c r="O45" s="64" t="s">
        <v>588</v>
      </c>
      <c r="P45" s="51"/>
    </row>
    <row r="46" s="29" customFormat="1" ht="37" customHeight="1" spans="1:16">
      <c r="A46" s="52">
        <v>11</v>
      </c>
      <c r="B46" s="53" t="s">
        <v>59</v>
      </c>
      <c r="C46" s="83" t="s">
        <v>589</v>
      </c>
      <c r="D46" s="84" t="s">
        <v>590</v>
      </c>
      <c r="E46" s="64" t="s">
        <v>591</v>
      </c>
      <c r="F46" s="86">
        <v>46095</v>
      </c>
      <c r="G46" s="86" t="s">
        <v>578</v>
      </c>
      <c r="H46" s="86" t="s">
        <v>592</v>
      </c>
      <c r="I46" s="84" t="s">
        <v>57</v>
      </c>
      <c r="J46" s="52"/>
      <c r="K46" s="53"/>
      <c r="L46" s="53"/>
      <c r="M46" s="83"/>
      <c r="N46" s="83" t="s">
        <v>547</v>
      </c>
      <c r="O46" s="64" t="s">
        <v>593</v>
      </c>
      <c r="P46" s="51"/>
    </row>
    <row r="47" s="29" customFormat="1" ht="37" customHeight="1" spans="1:16">
      <c r="A47" s="52">
        <v>12</v>
      </c>
      <c r="B47" s="53" t="s">
        <v>14</v>
      </c>
      <c r="C47" s="83" t="s">
        <v>24</v>
      </c>
      <c r="D47" s="84" t="s">
        <v>594</v>
      </c>
      <c r="E47" s="64" t="s">
        <v>595</v>
      </c>
      <c r="F47" s="86">
        <v>46098</v>
      </c>
      <c r="G47" s="86" t="s">
        <v>369</v>
      </c>
      <c r="H47" s="86" t="s">
        <v>335</v>
      </c>
      <c r="I47" s="84" t="s">
        <v>57</v>
      </c>
      <c r="J47" s="52"/>
      <c r="K47" s="53"/>
      <c r="L47" s="53"/>
      <c r="M47" s="83"/>
      <c r="N47" s="83" t="s">
        <v>547</v>
      </c>
      <c r="O47" s="64" t="s">
        <v>596</v>
      </c>
      <c r="P47" s="51"/>
    </row>
    <row r="48" s="29" customFormat="1" ht="37" customHeight="1" spans="1:16">
      <c r="A48" s="52">
        <v>13</v>
      </c>
      <c r="B48" s="53" t="s">
        <v>14</v>
      </c>
      <c r="C48" s="83" t="s">
        <v>597</v>
      </c>
      <c r="D48" s="84" t="s">
        <v>598</v>
      </c>
      <c r="E48" s="64" t="s">
        <v>599</v>
      </c>
      <c r="F48" s="86">
        <v>46106</v>
      </c>
      <c r="G48" s="86" t="s">
        <v>369</v>
      </c>
      <c r="H48" s="86" t="s">
        <v>31</v>
      </c>
      <c r="I48" s="84" t="s">
        <v>122</v>
      </c>
      <c r="J48" s="52"/>
      <c r="K48" s="53"/>
      <c r="L48" s="53"/>
      <c r="M48" s="83"/>
      <c r="N48" s="83" t="s">
        <v>547</v>
      </c>
      <c r="O48" s="64" t="s">
        <v>600</v>
      </c>
      <c r="P48" s="51"/>
    </row>
    <row r="49" s="29" customFormat="1" ht="37" customHeight="1" spans="1:16">
      <c r="A49" s="52">
        <v>14</v>
      </c>
      <c r="B49" s="53" t="s">
        <v>14</v>
      </c>
      <c r="C49" s="83" t="s">
        <v>597</v>
      </c>
      <c r="D49" s="84" t="s">
        <v>601</v>
      </c>
      <c r="E49" s="64" t="s">
        <v>602</v>
      </c>
      <c r="F49" s="86">
        <v>46107</v>
      </c>
      <c r="G49" s="86" t="s">
        <v>603</v>
      </c>
      <c r="H49" s="86" t="s">
        <v>31</v>
      </c>
      <c r="I49" s="84" t="s">
        <v>57</v>
      </c>
      <c r="J49" s="52"/>
      <c r="K49" s="53"/>
      <c r="L49" s="53"/>
      <c r="M49" s="83"/>
      <c r="N49" s="83" t="s">
        <v>547</v>
      </c>
      <c r="O49" s="64" t="s">
        <v>604</v>
      </c>
      <c r="P49" s="51"/>
    </row>
    <row r="50" s="29" customFormat="1" ht="37" customHeight="1" spans="1:16">
      <c r="A50" s="52">
        <v>15</v>
      </c>
      <c r="B50" s="53" t="s">
        <v>14</v>
      </c>
      <c r="C50" s="83" t="s">
        <v>24</v>
      </c>
      <c r="D50" s="84" t="s">
        <v>605</v>
      </c>
      <c r="E50" s="64" t="s">
        <v>606</v>
      </c>
      <c r="F50" s="86">
        <v>46107</v>
      </c>
      <c r="G50" s="86" t="s">
        <v>607</v>
      </c>
      <c r="H50" s="86" t="s">
        <v>56</v>
      </c>
      <c r="I50" s="84" t="s">
        <v>57</v>
      </c>
      <c r="J50" s="52"/>
      <c r="K50" s="53"/>
      <c r="L50" s="53"/>
      <c r="M50" s="83"/>
      <c r="N50" s="83" t="s">
        <v>547</v>
      </c>
      <c r="O50" s="64" t="s">
        <v>608</v>
      </c>
      <c r="P50" s="51"/>
    </row>
    <row r="51" s="29" customFormat="1" ht="37" customHeight="1" spans="1:16">
      <c r="A51" s="52">
        <v>16</v>
      </c>
      <c r="B51" s="53" t="s">
        <v>14</v>
      </c>
      <c r="C51" s="83" t="s">
        <v>60</v>
      </c>
      <c r="D51" s="84" t="s">
        <v>609</v>
      </c>
      <c r="E51" s="64" t="s">
        <v>610</v>
      </c>
      <c r="F51" s="86">
        <v>46109</v>
      </c>
      <c r="G51" s="86" t="s">
        <v>611</v>
      </c>
      <c r="H51" s="86" t="s">
        <v>18</v>
      </c>
      <c r="I51" s="84" t="s">
        <v>20</v>
      </c>
      <c r="J51" s="52"/>
      <c r="K51" s="53"/>
      <c r="L51" s="53"/>
      <c r="M51" s="83"/>
      <c r="N51" s="83" t="s">
        <v>547</v>
      </c>
      <c r="O51" s="64" t="s">
        <v>612</v>
      </c>
      <c r="P51" s="51"/>
    </row>
    <row r="52" s="29" customFormat="1" ht="37" customHeight="1" spans="1:16">
      <c r="A52" s="52">
        <v>17</v>
      </c>
      <c r="B52" s="53" t="s">
        <v>14</v>
      </c>
      <c r="C52" s="83" t="s">
        <v>24</v>
      </c>
      <c r="D52" s="84" t="s">
        <v>613</v>
      </c>
      <c r="E52" s="64" t="s">
        <v>614</v>
      </c>
      <c r="F52" s="86">
        <v>46112</v>
      </c>
      <c r="G52" s="86" t="s">
        <v>615</v>
      </c>
      <c r="H52" s="86" t="s">
        <v>18</v>
      </c>
      <c r="I52" s="84" t="s">
        <v>20</v>
      </c>
      <c r="J52" s="52"/>
      <c r="K52" s="53"/>
      <c r="L52" s="53"/>
      <c r="M52" s="83"/>
      <c r="N52" s="83" t="s">
        <v>547</v>
      </c>
      <c r="O52" s="64" t="s">
        <v>616</v>
      </c>
      <c r="P52" s="51"/>
    </row>
    <row r="53" s="29" customFormat="1" ht="37" customHeight="1" spans="1:16">
      <c r="A53" s="52">
        <v>18</v>
      </c>
      <c r="B53" s="53" t="s">
        <v>14</v>
      </c>
      <c r="C53" s="83" t="s">
        <v>617</v>
      </c>
      <c r="D53" s="84" t="s">
        <v>618</v>
      </c>
      <c r="E53" s="64" t="s">
        <v>619</v>
      </c>
      <c r="F53" s="86">
        <v>46115</v>
      </c>
      <c r="G53" s="86" t="s">
        <v>620</v>
      </c>
      <c r="H53" s="86" t="s">
        <v>47</v>
      </c>
      <c r="I53" s="84" t="s">
        <v>546</v>
      </c>
      <c r="J53" s="52"/>
      <c r="K53" s="53"/>
      <c r="L53" s="53"/>
      <c r="M53" s="83"/>
      <c r="N53" s="83" t="s">
        <v>547</v>
      </c>
      <c r="O53" s="64" t="s">
        <v>621</v>
      </c>
      <c r="P53" s="51"/>
    </row>
    <row r="54" s="29" customFormat="1" ht="37" customHeight="1" spans="1:16">
      <c r="A54" s="52">
        <v>19</v>
      </c>
      <c r="B54" s="53" t="s">
        <v>14</v>
      </c>
      <c r="C54" s="83" t="s">
        <v>459</v>
      </c>
      <c r="D54" s="84" t="s">
        <v>622</v>
      </c>
      <c r="E54" s="64" t="s">
        <v>623</v>
      </c>
      <c r="F54" s="86">
        <v>46119</v>
      </c>
      <c r="G54" s="86" t="s">
        <v>624</v>
      </c>
      <c r="H54" s="86" t="s">
        <v>340</v>
      </c>
      <c r="I54" s="84" t="s">
        <v>625</v>
      </c>
      <c r="J54" s="52"/>
      <c r="K54" s="53"/>
      <c r="L54" s="53"/>
      <c r="M54" s="83"/>
      <c r="N54" s="83" t="s">
        <v>547</v>
      </c>
      <c r="O54" s="64" t="s">
        <v>626</v>
      </c>
      <c r="P54" s="51"/>
    </row>
    <row r="55" s="29" customFormat="1" ht="37" customHeight="1" spans="1:16">
      <c r="A55" s="52">
        <v>20</v>
      </c>
      <c r="B55" s="53" t="s">
        <v>14</v>
      </c>
      <c r="C55" s="83" t="s">
        <v>459</v>
      </c>
      <c r="D55" s="84" t="s">
        <v>627</v>
      </c>
      <c r="E55" s="64" t="s">
        <v>628</v>
      </c>
      <c r="F55" s="86">
        <v>46119</v>
      </c>
      <c r="G55" s="86" t="s">
        <v>620</v>
      </c>
      <c r="H55" s="86" t="s">
        <v>307</v>
      </c>
      <c r="I55" s="84" t="s">
        <v>78</v>
      </c>
      <c r="J55" s="52"/>
      <c r="K55" s="53"/>
      <c r="L55" s="53"/>
      <c r="M55" s="83"/>
      <c r="N55" s="83" t="s">
        <v>547</v>
      </c>
      <c r="O55" s="64" t="s">
        <v>629</v>
      </c>
      <c r="P55" s="51"/>
    </row>
    <row r="56" s="29" customFormat="1" ht="37" customHeight="1" spans="1:16">
      <c r="A56" s="52">
        <v>21</v>
      </c>
      <c r="B56" s="53" t="s">
        <v>14</v>
      </c>
      <c r="C56" s="83" t="s">
        <v>24</v>
      </c>
      <c r="D56" s="84" t="s">
        <v>630</v>
      </c>
      <c r="E56" s="64" t="s">
        <v>631</v>
      </c>
      <c r="F56" s="86">
        <v>46122</v>
      </c>
      <c r="G56" s="86" t="s">
        <v>381</v>
      </c>
      <c r="H56" s="86" t="s">
        <v>560</v>
      </c>
      <c r="I56" s="84" t="s">
        <v>57</v>
      </c>
      <c r="J56" s="52"/>
      <c r="K56" s="53"/>
      <c r="L56" s="53"/>
      <c r="M56" s="83"/>
      <c r="N56" s="83" t="s">
        <v>547</v>
      </c>
      <c r="O56" s="64" t="s">
        <v>632</v>
      </c>
      <c r="P56" s="51"/>
    </row>
    <row r="57" s="29" customFormat="1" ht="37" customHeight="1" spans="1:16">
      <c r="A57" s="52">
        <v>22</v>
      </c>
      <c r="B57" s="53" t="s">
        <v>14</v>
      </c>
      <c r="C57" s="83" t="s">
        <v>617</v>
      </c>
      <c r="D57" s="84" t="s">
        <v>633</v>
      </c>
      <c r="E57" s="64" t="s">
        <v>634</v>
      </c>
      <c r="F57" s="86">
        <v>46122</v>
      </c>
      <c r="G57" s="86" t="s">
        <v>635</v>
      </c>
      <c r="H57" s="86" t="s">
        <v>56</v>
      </c>
      <c r="I57" s="84" t="s">
        <v>57</v>
      </c>
      <c r="J57" s="52"/>
      <c r="K57" s="53"/>
      <c r="L57" s="53"/>
      <c r="M57" s="83"/>
      <c r="N57" s="83" t="s">
        <v>547</v>
      </c>
      <c r="O57" s="64" t="s">
        <v>636</v>
      </c>
      <c r="P57" s="51"/>
    </row>
    <row r="58" s="29" customFormat="1" ht="37" customHeight="1" spans="1:16">
      <c r="A58" s="52">
        <v>23</v>
      </c>
      <c r="B58" s="53" t="s">
        <v>14</v>
      </c>
      <c r="C58" s="83" t="s">
        <v>562</v>
      </c>
      <c r="D58" s="84" t="s">
        <v>637</v>
      </c>
      <c r="E58" s="64" t="s">
        <v>638</v>
      </c>
      <c r="F58" s="86">
        <v>46134</v>
      </c>
      <c r="G58" s="86" t="s">
        <v>611</v>
      </c>
      <c r="H58" s="86" t="s">
        <v>566</v>
      </c>
      <c r="I58" s="84" t="s">
        <v>57</v>
      </c>
      <c r="J58" s="52"/>
      <c r="K58" s="53"/>
      <c r="L58" s="53"/>
      <c r="M58" s="83"/>
      <c r="N58" s="83" t="s">
        <v>547</v>
      </c>
      <c r="O58" s="64" t="s">
        <v>639</v>
      </c>
      <c r="P58" s="51"/>
    </row>
    <row r="59" s="29" customFormat="1" ht="37" customHeight="1" spans="1:16">
      <c r="A59" s="52">
        <v>24</v>
      </c>
      <c r="B59" s="53" t="s">
        <v>14</v>
      </c>
      <c r="C59" s="83" t="s">
        <v>597</v>
      </c>
      <c r="D59" s="84" t="s">
        <v>640</v>
      </c>
      <c r="E59" s="64" t="s">
        <v>641</v>
      </c>
      <c r="F59" s="86">
        <v>46135</v>
      </c>
      <c r="G59" s="86" t="s">
        <v>642</v>
      </c>
      <c r="H59" s="86" t="s">
        <v>31</v>
      </c>
      <c r="I59" s="84" t="s">
        <v>57</v>
      </c>
      <c r="J59" s="52"/>
      <c r="K59" s="53"/>
      <c r="L59" s="53"/>
      <c r="M59" s="83"/>
      <c r="N59" s="83" t="s">
        <v>547</v>
      </c>
      <c r="O59" s="64" t="s">
        <v>643</v>
      </c>
      <c r="P59" s="51"/>
    </row>
    <row r="60" s="29" customFormat="1" ht="37" customHeight="1" spans="1:16">
      <c r="A60" s="52">
        <v>25</v>
      </c>
      <c r="B60" s="53" t="s">
        <v>14</v>
      </c>
      <c r="C60" s="83" t="s">
        <v>644</v>
      </c>
      <c r="D60" s="84" t="s">
        <v>645</v>
      </c>
      <c r="E60" s="64" t="s">
        <v>646</v>
      </c>
      <c r="F60" s="86">
        <v>46135</v>
      </c>
      <c r="G60" s="86" t="s">
        <v>647</v>
      </c>
      <c r="H60" s="86" t="s">
        <v>307</v>
      </c>
      <c r="I60" s="84" t="s">
        <v>78</v>
      </c>
      <c r="J60" s="52"/>
      <c r="K60" s="53"/>
      <c r="L60" s="53"/>
      <c r="M60" s="83"/>
      <c r="N60" s="83" t="s">
        <v>547</v>
      </c>
      <c r="O60" s="64" t="s">
        <v>648</v>
      </c>
      <c r="P60" s="51"/>
    </row>
    <row r="61" s="29" customFormat="1" ht="37" customHeight="1" spans="1:16">
      <c r="A61" s="52">
        <v>26</v>
      </c>
      <c r="B61" s="53" t="s">
        <v>14</v>
      </c>
      <c r="C61" s="83" t="s">
        <v>649</v>
      </c>
      <c r="D61" s="84" t="s">
        <v>650</v>
      </c>
      <c r="E61" s="64" t="s">
        <v>651</v>
      </c>
      <c r="F61" s="86">
        <v>46139</v>
      </c>
      <c r="G61" s="86" t="s">
        <v>652</v>
      </c>
      <c r="H61" s="86" t="s">
        <v>63</v>
      </c>
      <c r="I61" s="84" t="s">
        <v>128</v>
      </c>
      <c r="J61" s="52"/>
      <c r="K61" s="53"/>
      <c r="L61" s="53"/>
      <c r="M61" s="83"/>
      <c r="N61" s="83" t="s">
        <v>547</v>
      </c>
      <c r="O61" s="64" t="s">
        <v>653</v>
      </c>
      <c r="P61" s="51"/>
    </row>
    <row r="62" s="29" customFormat="1" ht="37" customHeight="1" spans="1:16">
      <c r="A62" s="52">
        <v>27</v>
      </c>
      <c r="B62" s="53" t="s">
        <v>14</v>
      </c>
      <c r="C62" s="83" t="s">
        <v>438</v>
      </c>
      <c r="D62" s="84" t="s">
        <v>654</v>
      </c>
      <c r="E62" s="64" t="s">
        <v>655</v>
      </c>
      <c r="F62" s="86">
        <v>46141</v>
      </c>
      <c r="G62" s="86" t="s">
        <v>656</v>
      </c>
      <c r="H62" s="86" t="s">
        <v>18</v>
      </c>
      <c r="I62" s="84" t="s">
        <v>657</v>
      </c>
      <c r="J62" s="52"/>
      <c r="K62" s="53"/>
      <c r="L62" s="53"/>
      <c r="M62" s="83"/>
      <c r="N62" s="83" t="s">
        <v>547</v>
      </c>
      <c r="O62" s="64" t="s">
        <v>658</v>
      </c>
      <c r="P62" s="51"/>
    </row>
    <row r="63" s="29" customFormat="1" ht="37" customHeight="1" spans="1:16">
      <c r="A63" s="52">
        <v>28</v>
      </c>
      <c r="B63" s="53" t="s">
        <v>14</v>
      </c>
      <c r="C63" s="83" t="s">
        <v>644</v>
      </c>
      <c r="D63" s="84" t="s">
        <v>659</v>
      </c>
      <c r="E63" s="64" t="s">
        <v>660</v>
      </c>
      <c r="F63" s="86">
        <v>46141</v>
      </c>
      <c r="G63" s="86" t="s">
        <v>661</v>
      </c>
      <c r="H63" s="86" t="s">
        <v>307</v>
      </c>
      <c r="I63" s="84" t="s">
        <v>78</v>
      </c>
      <c r="J63" s="52"/>
      <c r="K63" s="53"/>
      <c r="L63" s="53"/>
      <c r="M63" s="83"/>
      <c r="N63" s="83" t="s">
        <v>547</v>
      </c>
      <c r="O63" s="64" t="s">
        <v>662</v>
      </c>
      <c r="P63" s="51"/>
    </row>
    <row r="64" s="29" customFormat="1" ht="37" customHeight="1" spans="1:16">
      <c r="A64" s="52">
        <v>29</v>
      </c>
      <c r="B64" s="53" t="s">
        <v>14</v>
      </c>
      <c r="C64" s="83" t="s">
        <v>28</v>
      </c>
      <c r="D64" s="84" t="s">
        <v>663</v>
      </c>
      <c r="E64" s="64" t="s">
        <v>664</v>
      </c>
      <c r="F64" s="86">
        <v>46141</v>
      </c>
      <c r="G64" s="86" t="s">
        <v>665</v>
      </c>
      <c r="H64" s="86" t="s">
        <v>307</v>
      </c>
      <c r="I64" s="84" t="s">
        <v>57</v>
      </c>
      <c r="J64" s="52"/>
      <c r="K64" s="53"/>
      <c r="L64" s="53"/>
      <c r="M64" s="83"/>
      <c r="N64" s="83" t="s">
        <v>547</v>
      </c>
      <c r="O64" s="64" t="s">
        <v>666</v>
      </c>
      <c r="P64" s="51"/>
    </row>
    <row r="65" s="29" customFormat="1" ht="37" customHeight="1" spans="1:16">
      <c r="A65" s="52">
        <v>30</v>
      </c>
      <c r="B65" s="53" t="s">
        <v>14</v>
      </c>
      <c r="C65" s="83" t="s">
        <v>60</v>
      </c>
      <c r="D65" s="84" t="s">
        <v>667</v>
      </c>
      <c r="E65" s="64" t="s">
        <v>668</v>
      </c>
      <c r="F65" s="86">
        <v>46141</v>
      </c>
      <c r="G65" s="86" t="s">
        <v>669</v>
      </c>
      <c r="H65" s="86" t="s">
        <v>63</v>
      </c>
      <c r="I65" s="84" t="s">
        <v>48</v>
      </c>
      <c r="J65" s="52"/>
      <c r="K65" s="53"/>
      <c r="L65" s="53"/>
      <c r="M65" s="83"/>
      <c r="N65" s="83" t="s">
        <v>547</v>
      </c>
      <c r="O65" s="64" t="s">
        <v>670</v>
      </c>
      <c r="P65" s="51"/>
    </row>
    <row r="66" s="29" customFormat="1" ht="37" customHeight="1" spans="1:16">
      <c r="A66" s="52">
        <v>31</v>
      </c>
      <c r="B66" s="53" t="s">
        <v>14</v>
      </c>
      <c r="C66" s="83" t="s">
        <v>562</v>
      </c>
      <c r="D66" s="84" t="s">
        <v>671</v>
      </c>
      <c r="E66" s="64" t="s">
        <v>672</v>
      </c>
      <c r="F66" s="86">
        <v>46142</v>
      </c>
      <c r="G66" s="86" t="s">
        <v>385</v>
      </c>
      <c r="H66" s="86" t="s">
        <v>566</v>
      </c>
      <c r="I66" s="84" t="s">
        <v>48</v>
      </c>
      <c r="J66" s="52"/>
      <c r="K66" s="53"/>
      <c r="L66" s="53"/>
      <c r="M66" s="83"/>
      <c r="N66" s="83" t="s">
        <v>547</v>
      </c>
      <c r="O66" s="64" t="s">
        <v>673</v>
      </c>
      <c r="P66" s="51"/>
    </row>
    <row r="67" s="29" customFormat="1" ht="37" customHeight="1" spans="1:16">
      <c r="A67" s="52">
        <v>32</v>
      </c>
      <c r="B67" s="53" t="s">
        <v>14</v>
      </c>
      <c r="C67" s="83" t="s">
        <v>597</v>
      </c>
      <c r="D67" s="84" t="s">
        <v>674</v>
      </c>
      <c r="E67" s="64" t="s">
        <v>675</v>
      </c>
      <c r="F67" s="86">
        <v>46142</v>
      </c>
      <c r="G67" s="86" t="s">
        <v>669</v>
      </c>
      <c r="H67" s="86" t="s">
        <v>31</v>
      </c>
      <c r="I67" s="84" t="s">
        <v>128</v>
      </c>
      <c r="J67" s="52"/>
      <c r="K67" s="53"/>
      <c r="L67" s="53"/>
      <c r="M67" s="83"/>
      <c r="N67" s="83" t="s">
        <v>547</v>
      </c>
      <c r="O67" s="64" t="s">
        <v>676</v>
      </c>
      <c r="P67" s="51"/>
    </row>
    <row r="68" s="29" customFormat="1" ht="37" customHeight="1" spans="1:16">
      <c r="A68" s="52">
        <v>33</v>
      </c>
      <c r="B68" s="53" t="s">
        <v>14</v>
      </c>
      <c r="C68" s="83" t="s">
        <v>649</v>
      </c>
      <c r="D68" s="84" t="s">
        <v>677</v>
      </c>
      <c r="E68" s="64" t="s">
        <v>678</v>
      </c>
      <c r="F68" s="86">
        <v>46144</v>
      </c>
      <c r="G68" s="86" t="s">
        <v>679</v>
      </c>
      <c r="H68" s="86" t="s">
        <v>429</v>
      </c>
      <c r="I68" s="84" t="s">
        <v>680</v>
      </c>
      <c r="J68" s="52"/>
      <c r="K68" s="53"/>
      <c r="L68" s="53"/>
      <c r="M68" s="83"/>
      <c r="N68" s="83" t="s">
        <v>547</v>
      </c>
      <c r="O68" s="64" t="s">
        <v>681</v>
      </c>
      <c r="P68" s="51"/>
    </row>
    <row r="69" s="29" customFormat="1" ht="37" customHeight="1" spans="1:16">
      <c r="A69" s="52">
        <v>34</v>
      </c>
      <c r="B69" s="53" t="s">
        <v>14</v>
      </c>
      <c r="C69" s="83" t="s">
        <v>28</v>
      </c>
      <c r="D69" s="84" t="s">
        <v>682</v>
      </c>
      <c r="E69" s="64" t="s">
        <v>683</v>
      </c>
      <c r="F69" s="86">
        <v>46144</v>
      </c>
      <c r="G69" s="86" t="s">
        <v>684</v>
      </c>
      <c r="H69" s="86" t="s">
        <v>312</v>
      </c>
      <c r="I69" s="84" t="s">
        <v>20</v>
      </c>
      <c r="J69" s="52"/>
      <c r="K69" s="53"/>
      <c r="L69" s="53"/>
      <c r="M69" s="83"/>
      <c r="N69" s="83" t="s">
        <v>547</v>
      </c>
      <c r="O69" s="64" t="s">
        <v>685</v>
      </c>
      <c r="P69" s="51"/>
    </row>
    <row r="70" s="29" customFormat="1" ht="37" customHeight="1" spans="1:16">
      <c r="A70" s="52">
        <v>35</v>
      </c>
      <c r="B70" s="53" t="s">
        <v>14</v>
      </c>
      <c r="C70" s="83" t="s">
        <v>562</v>
      </c>
      <c r="D70" s="84" t="s">
        <v>686</v>
      </c>
      <c r="E70" s="64" t="s">
        <v>687</v>
      </c>
      <c r="F70" s="86">
        <v>46145</v>
      </c>
      <c r="G70" s="86" t="s">
        <v>688</v>
      </c>
      <c r="H70" s="86" t="s">
        <v>566</v>
      </c>
      <c r="I70" s="84" t="s">
        <v>48</v>
      </c>
      <c r="J70" s="52"/>
      <c r="K70" s="53"/>
      <c r="L70" s="53"/>
      <c r="M70" s="83"/>
      <c r="N70" s="83" t="s">
        <v>547</v>
      </c>
      <c r="O70" s="64" t="s">
        <v>689</v>
      </c>
      <c r="P70" s="51"/>
    </row>
    <row r="71" s="29" customFormat="1" ht="37" customHeight="1" spans="1:16">
      <c r="A71" s="52">
        <v>36</v>
      </c>
      <c r="B71" s="53" t="s">
        <v>14</v>
      </c>
      <c r="C71" s="83" t="s">
        <v>562</v>
      </c>
      <c r="D71" s="84" t="s">
        <v>690</v>
      </c>
      <c r="E71" s="64" t="s">
        <v>691</v>
      </c>
      <c r="F71" s="86">
        <v>46151</v>
      </c>
      <c r="G71" s="86" t="s">
        <v>389</v>
      </c>
      <c r="H71" s="86" t="s">
        <v>566</v>
      </c>
      <c r="I71" s="84" t="s">
        <v>48</v>
      </c>
      <c r="J71" s="52"/>
      <c r="K71" s="53"/>
      <c r="L71" s="53"/>
      <c r="M71" s="83"/>
      <c r="N71" s="83" t="s">
        <v>547</v>
      </c>
      <c r="O71" s="64" t="s">
        <v>692</v>
      </c>
      <c r="P71" s="51"/>
    </row>
    <row r="72" s="29" customFormat="1" ht="37" customHeight="1" spans="1:16">
      <c r="A72" s="52">
        <v>37</v>
      </c>
      <c r="B72" s="53" t="s">
        <v>14</v>
      </c>
      <c r="C72" s="83" t="s">
        <v>597</v>
      </c>
      <c r="D72" s="84" t="s">
        <v>693</v>
      </c>
      <c r="E72" s="64" t="s">
        <v>694</v>
      </c>
      <c r="F72" s="86">
        <v>46151</v>
      </c>
      <c r="G72" s="86" t="s">
        <v>688</v>
      </c>
      <c r="H72" s="86" t="s">
        <v>31</v>
      </c>
      <c r="I72" s="84" t="s">
        <v>32</v>
      </c>
      <c r="J72" s="52"/>
      <c r="K72" s="53"/>
      <c r="L72" s="53"/>
      <c r="M72" s="83"/>
      <c r="N72" s="83" t="s">
        <v>547</v>
      </c>
      <c r="O72" s="64" t="s">
        <v>695</v>
      </c>
      <c r="P72" s="51"/>
    </row>
    <row r="73" s="29" customFormat="1" ht="37" customHeight="1" spans="1:16">
      <c r="A73" s="52">
        <v>38</v>
      </c>
      <c r="B73" s="53" t="s">
        <v>14</v>
      </c>
      <c r="C73" s="83" t="s">
        <v>617</v>
      </c>
      <c r="D73" s="84" t="s">
        <v>696</v>
      </c>
      <c r="E73" s="64" t="s">
        <v>697</v>
      </c>
      <c r="F73" s="86">
        <v>46151</v>
      </c>
      <c r="G73" s="86" t="s">
        <v>665</v>
      </c>
      <c r="H73" s="86" t="s">
        <v>560</v>
      </c>
      <c r="I73" s="84" t="s">
        <v>57</v>
      </c>
      <c r="J73" s="52"/>
      <c r="K73" s="53"/>
      <c r="L73" s="53"/>
      <c r="M73" s="83"/>
      <c r="N73" s="83" t="s">
        <v>547</v>
      </c>
      <c r="O73" s="64" t="s">
        <v>698</v>
      </c>
      <c r="P73" s="51"/>
    </row>
    <row r="74" s="29" customFormat="1" ht="37" customHeight="1" spans="1:16">
      <c r="A74" s="52">
        <v>39</v>
      </c>
      <c r="B74" s="53" t="s">
        <v>14</v>
      </c>
      <c r="C74" s="83" t="s">
        <v>699</v>
      </c>
      <c r="D74" s="84" t="s">
        <v>700</v>
      </c>
      <c r="E74" s="64" t="s">
        <v>701</v>
      </c>
      <c r="F74" s="86">
        <v>46157</v>
      </c>
      <c r="G74" s="86" t="s">
        <v>665</v>
      </c>
      <c r="H74" s="86" t="s">
        <v>301</v>
      </c>
      <c r="I74" s="84" t="s">
        <v>94</v>
      </c>
      <c r="J74" s="52"/>
      <c r="K74" s="53"/>
      <c r="L74" s="53"/>
      <c r="M74" s="83"/>
      <c r="N74" s="83" t="s">
        <v>547</v>
      </c>
      <c r="O74" s="64" t="s">
        <v>702</v>
      </c>
      <c r="P74" s="51"/>
    </row>
    <row r="75" s="29" customFormat="1" ht="37" customHeight="1" spans="1:16">
      <c r="A75" s="52">
        <v>40</v>
      </c>
      <c r="B75" s="53" t="s">
        <v>14</v>
      </c>
      <c r="C75" s="83" t="s">
        <v>60</v>
      </c>
      <c r="D75" s="84" t="s">
        <v>703</v>
      </c>
      <c r="E75" s="64" t="s">
        <v>704</v>
      </c>
      <c r="F75" s="86">
        <v>46158</v>
      </c>
      <c r="G75" s="86" t="s">
        <v>705</v>
      </c>
      <c r="H75" s="86" t="s">
        <v>63</v>
      </c>
      <c r="I75" s="84" t="s">
        <v>48</v>
      </c>
      <c r="J75" s="52"/>
      <c r="K75" s="53"/>
      <c r="L75" s="53"/>
      <c r="M75" s="83"/>
      <c r="N75" s="83" t="s">
        <v>547</v>
      </c>
      <c r="O75" s="64" t="s">
        <v>706</v>
      </c>
      <c r="P75" s="51"/>
    </row>
    <row r="76" s="29" customFormat="1" ht="37" customHeight="1" spans="1:16">
      <c r="A76" s="52">
        <v>41</v>
      </c>
      <c r="B76" s="53" t="s">
        <v>14</v>
      </c>
      <c r="C76" s="83" t="s">
        <v>617</v>
      </c>
      <c r="D76" s="84" t="s">
        <v>707</v>
      </c>
      <c r="E76" s="64" t="s">
        <v>708</v>
      </c>
      <c r="F76" s="86">
        <v>46162</v>
      </c>
      <c r="G76" s="86" t="s">
        <v>709</v>
      </c>
      <c r="H76" s="86" t="s">
        <v>47</v>
      </c>
      <c r="I76" s="84" t="s">
        <v>57</v>
      </c>
      <c r="J76" s="52"/>
      <c r="K76" s="53"/>
      <c r="L76" s="53"/>
      <c r="M76" s="83"/>
      <c r="N76" s="83" t="s">
        <v>547</v>
      </c>
      <c r="O76" s="64" t="s">
        <v>710</v>
      </c>
      <c r="P76" s="51"/>
    </row>
    <row r="77" s="29" customFormat="1" ht="37" customHeight="1" spans="1:16">
      <c r="A77" s="52">
        <v>42</v>
      </c>
      <c r="B77" s="53" t="s">
        <v>14</v>
      </c>
      <c r="C77" s="83" t="s">
        <v>699</v>
      </c>
      <c r="D77" s="84" t="s">
        <v>711</v>
      </c>
      <c r="E77" s="64" t="s">
        <v>712</v>
      </c>
      <c r="F77" s="86">
        <v>46164</v>
      </c>
      <c r="G77" s="86" t="s">
        <v>713</v>
      </c>
      <c r="H77" s="86" t="s">
        <v>714</v>
      </c>
      <c r="I77" s="84" t="s">
        <v>94</v>
      </c>
      <c r="J77" s="52"/>
      <c r="K77" s="53"/>
      <c r="L77" s="53"/>
      <c r="M77" s="83"/>
      <c r="N77" s="83" t="s">
        <v>547</v>
      </c>
      <c r="O77" s="64" t="s">
        <v>715</v>
      </c>
      <c r="P77" s="51"/>
    </row>
    <row r="78" s="29" customFormat="1" ht="37" customHeight="1" spans="1:16">
      <c r="A78" s="52">
        <v>43</v>
      </c>
      <c r="B78" s="53" t="s">
        <v>14</v>
      </c>
      <c r="C78" s="83" t="s">
        <v>617</v>
      </c>
      <c r="D78" s="84" t="s">
        <v>716</v>
      </c>
      <c r="E78" s="64" t="s">
        <v>717</v>
      </c>
      <c r="F78" s="86">
        <v>46169</v>
      </c>
      <c r="G78" s="86" t="s">
        <v>718</v>
      </c>
      <c r="H78" s="86" t="s">
        <v>56</v>
      </c>
      <c r="I78" s="84" t="s">
        <v>57</v>
      </c>
      <c r="J78" s="52"/>
      <c r="K78" s="53"/>
      <c r="L78" s="53"/>
      <c r="M78" s="83"/>
      <c r="N78" s="83" t="s">
        <v>547</v>
      </c>
      <c r="O78" s="64" t="s">
        <v>719</v>
      </c>
      <c r="P78" s="51"/>
    </row>
    <row r="79" s="29" customFormat="1" ht="37" customHeight="1" spans="1:16">
      <c r="A79" s="52">
        <v>44</v>
      </c>
      <c r="B79" s="53" t="s">
        <v>14</v>
      </c>
      <c r="C79" s="83" t="s">
        <v>617</v>
      </c>
      <c r="D79" s="84" t="s">
        <v>720</v>
      </c>
      <c r="E79" s="64" t="s">
        <v>721</v>
      </c>
      <c r="F79" s="86">
        <v>46170</v>
      </c>
      <c r="G79" s="86" t="s">
        <v>722</v>
      </c>
      <c r="H79" s="86" t="s">
        <v>560</v>
      </c>
      <c r="I79" s="84" t="s">
        <v>57</v>
      </c>
      <c r="J79" s="52"/>
      <c r="K79" s="53"/>
      <c r="L79" s="53"/>
      <c r="M79" s="83"/>
      <c r="N79" s="83" t="s">
        <v>547</v>
      </c>
      <c r="O79" s="64" t="s">
        <v>723</v>
      </c>
      <c r="P79" s="51"/>
    </row>
    <row r="80" s="29" customFormat="1" ht="37" customHeight="1" spans="1:16">
      <c r="A80" s="52">
        <v>45</v>
      </c>
      <c r="B80" s="53" t="s">
        <v>14</v>
      </c>
      <c r="C80" s="83" t="s">
        <v>28</v>
      </c>
      <c r="D80" s="84" t="s">
        <v>724</v>
      </c>
      <c r="E80" s="64" t="s">
        <v>725</v>
      </c>
      <c r="F80" s="86">
        <v>46174</v>
      </c>
      <c r="G80" s="86" t="s">
        <v>726</v>
      </c>
      <c r="H80" s="86" t="s">
        <v>312</v>
      </c>
      <c r="I80" s="84" t="s">
        <v>20</v>
      </c>
      <c r="J80" s="52"/>
      <c r="K80" s="53"/>
      <c r="L80" s="53"/>
      <c r="M80" s="83"/>
      <c r="N80" s="83" t="s">
        <v>547</v>
      </c>
      <c r="O80" s="64" t="s">
        <v>727</v>
      </c>
      <c r="P80" s="51"/>
    </row>
    <row r="81" s="29" customFormat="1" ht="37" customHeight="1" spans="1:16">
      <c r="A81" s="52">
        <v>46</v>
      </c>
      <c r="B81" s="53" t="s">
        <v>14</v>
      </c>
      <c r="C81" s="83" t="s">
        <v>24</v>
      </c>
      <c r="D81" s="84" t="s">
        <v>728</v>
      </c>
      <c r="E81" s="64" t="s">
        <v>729</v>
      </c>
      <c r="F81" s="86">
        <v>46178</v>
      </c>
      <c r="G81" s="86" t="s">
        <v>401</v>
      </c>
      <c r="H81" s="86" t="s">
        <v>18</v>
      </c>
      <c r="I81" s="84" t="s">
        <v>57</v>
      </c>
      <c r="J81" s="52"/>
      <c r="K81" s="53"/>
      <c r="L81" s="53"/>
      <c r="M81" s="83"/>
      <c r="N81" s="83" t="s">
        <v>730</v>
      </c>
      <c r="O81" s="64" t="s">
        <v>731</v>
      </c>
      <c r="P81" s="51"/>
    </row>
    <row r="82" s="29" customFormat="1" ht="37" customHeight="1" spans="1:16">
      <c r="A82" s="52">
        <v>47</v>
      </c>
      <c r="B82" s="53" t="s">
        <v>14</v>
      </c>
      <c r="C82" s="83" t="s">
        <v>438</v>
      </c>
      <c r="D82" s="84" t="s">
        <v>732</v>
      </c>
      <c r="E82" s="64" t="s">
        <v>733</v>
      </c>
      <c r="F82" s="86">
        <v>46178</v>
      </c>
      <c r="G82" s="86" t="s">
        <v>734</v>
      </c>
      <c r="H82" s="86" t="s">
        <v>63</v>
      </c>
      <c r="I82" s="84" t="s">
        <v>735</v>
      </c>
      <c r="J82" s="52"/>
      <c r="K82" s="53"/>
      <c r="L82" s="53"/>
      <c r="M82" s="83"/>
      <c r="N82" s="83" t="s">
        <v>547</v>
      </c>
      <c r="O82" s="64" t="s">
        <v>736</v>
      </c>
      <c r="P82" s="51"/>
    </row>
    <row r="83" s="29" customFormat="1" ht="37" customHeight="1" spans="1:16">
      <c r="A83" s="52">
        <v>48</v>
      </c>
      <c r="B83" s="53" t="s">
        <v>14</v>
      </c>
      <c r="C83" s="83" t="s">
        <v>24</v>
      </c>
      <c r="D83" s="84" t="s">
        <v>737</v>
      </c>
      <c r="E83" s="64" t="s">
        <v>738</v>
      </c>
      <c r="F83" s="86">
        <v>46183</v>
      </c>
      <c r="G83" s="86" t="s">
        <v>406</v>
      </c>
      <c r="H83" s="86" t="s">
        <v>312</v>
      </c>
      <c r="I83" s="84" t="s">
        <v>20</v>
      </c>
      <c r="J83" s="52"/>
      <c r="K83" s="53"/>
      <c r="L83" s="53"/>
      <c r="M83" s="83"/>
      <c r="N83" s="83" t="s">
        <v>739</v>
      </c>
      <c r="O83" s="64" t="s">
        <v>740</v>
      </c>
      <c r="P83" s="51"/>
    </row>
    <row r="84" s="29" customFormat="1" ht="37" customHeight="1" spans="1:16">
      <c r="A84" s="52">
        <v>49</v>
      </c>
      <c r="B84" s="53" t="s">
        <v>14</v>
      </c>
      <c r="C84" s="83" t="s">
        <v>28</v>
      </c>
      <c r="D84" s="84" t="s">
        <v>741</v>
      </c>
      <c r="E84" s="64" t="s">
        <v>742</v>
      </c>
      <c r="F84" s="86">
        <v>46195</v>
      </c>
      <c r="G84" s="86" t="s">
        <v>743</v>
      </c>
      <c r="H84" s="86" t="s">
        <v>301</v>
      </c>
      <c r="I84" s="84" t="s">
        <v>128</v>
      </c>
      <c r="J84" s="52"/>
      <c r="K84" s="53"/>
      <c r="L84" s="53"/>
      <c r="M84" s="83"/>
      <c r="N84" s="83" t="s">
        <v>547</v>
      </c>
      <c r="O84" s="64" t="s">
        <v>744</v>
      </c>
      <c r="P84" s="51"/>
    </row>
    <row r="85" s="29" customFormat="1" ht="37" customHeight="1" spans="1:16">
      <c r="A85" s="52">
        <v>50</v>
      </c>
      <c r="B85" s="53" t="s">
        <v>14</v>
      </c>
      <c r="C85" s="83" t="s">
        <v>28</v>
      </c>
      <c r="D85" s="84" t="s">
        <v>745</v>
      </c>
      <c r="E85" s="64" t="s">
        <v>746</v>
      </c>
      <c r="F85" s="86">
        <v>46196</v>
      </c>
      <c r="G85" s="86" t="s">
        <v>743</v>
      </c>
      <c r="H85" s="86" t="s">
        <v>63</v>
      </c>
      <c r="I85" s="84" t="s">
        <v>296</v>
      </c>
      <c r="J85" s="52"/>
      <c r="K85" s="53"/>
      <c r="L85" s="53"/>
      <c r="M85" s="83"/>
      <c r="N85" s="83" t="s">
        <v>547</v>
      </c>
      <c r="O85" s="64" t="s">
        <v>747</v>
      </c>
      <c r="P85" s="51"/>
    </row>
    <row r="86" s="29" customFormat="1" ht="37" customHeight="1" spans="1:16">
      <c r="A86" s="52">
        <v>51</v>
      </c>
      <c r="B86" s="53" t="s">
        <v>14</v>
      </c>
      <c r="C86" s="83" t="s">
        <v>597</v>
      </c>
      <c r="D86" s="84" t="s">
        <v>748</v>
      </c>
      <c r="E86" s="64" t="s">
        <v>749</v>
      </c>
      <c r="F86" s="86">
        <v>46197</v>
      </c>
      <c r="G86" s="86" t="s">
        <v>750</v>
      </c>
      <c r="H86" s="86" t="s">
        <v>31</v>
      </c>
      <c r="I86" s="84" t="s">
        <v>32</v>
      </c>
      <c r="J86" s="52"/>
      <c r="K86" s="53"/>
      <c r="L86" s="53"/>
      <c r="M86" s="83"/>
      <c r="N86" s="83" t="s">
        <v>547</v>
      </c>
      <c r="O86" s="64" t="s">
        <v>751</v>
      </c>
      <c r="P86" s="51"/>
    </row>
    <row r="87" s="29" customFormat="1" ht="37" customHeight="1" spans="1:16">
      <c r="A87" s="52">
        <v>52</v>
      </c>
      <c r="B87" s="53" t="s">
        <v>14</v>
      </c>
      <c r="C87" s="83" t="s">
        <v>445</v>
      </c>
      <c r="D87" s="84" t="s">
        <v>752</v>
      </c>
      <c r="E87" s="64" t="s">
        <v>753</v>
      </c>
      <c r="F87" s="86">
        <v>46197</v>
      </c>
      <c r="G87" s="86" t="s">
        <v>401</v>
      </c>
      <c r="H87" s="86" t="s">
        <v>714</v>
      </c>
      <c r="I87" s="84" t="s">
        <v>128</v>
      </c>
      <c r="J87" s="52"/>
      <c r="K87" s="53"/>
      <c r="L87" s="53"/>
      <c r="M87" s="83"/>
      <c r="N87" s="83" t="s">
        <v>547</v>
      </c>
      <c r="O87" s="64" t="s">
        <v>754</v>
      </c>
      <c r="P87" s="51"/>
    </row>
    <row r="88" s="29" customFormat="1" ht="37" customHeight="1" spans="1:16">
      <c r="A88" s="52">
        <v>53</v>
      </c>
      <c r="B88" s="53" t="s">
        <v>14</v>
      </c>
      <c r="C88" s="83" t="s">
        <v>24</v>
      </c>
      <c r="D88" s="84" t="s">
        <v>755</v>
      </c>
      <c r="E88" s="64" t="s">
        <v>756</v>
      </c>
      <c r="F88" s="86">
        <v>46200</v>
      </c>
      <c r="G88" s="86" t="s">
        <v>757</v>
      </c>
      <c r="H88" s="86" t="s">
        <v>758</v>
      </c>
      <c r="I88" s="84" t="s">
        <v>57</v>
      </c>
      <c r="J88" s="52"/>
      <c r="K88" s="53"/>
      <c r="L88" s="53"/>
      <c r="M88" s="83"/>
      <c r="N88" s="83" t="s">
        <v>739</v>
      </c>
      <c r="O88" s="64" t="s">
        <v>759</v>
      </c>
      <c r="P88" s="51"/>
    </row>
    <row r="89" s="29" customFormat="1" ht="37" customHeight="1" spans="1:16">
      <c r="A89" s="52">
        <v>54</v>
      </c>
      <c r="B89" s="53" t="s">
        <v>59</v>
      </c>
      <c r="C89" s="83" t="s">
        <v>760</v>
      </c>
      <c r="D89" s="84" t="s">
        <v>761</v>
      </c>
      <c r="E89" s="64" t="s">
        <v>762</v>
      </c>
      <c r="F89" s="86">
        <v>46203</v>
      </c>
      <c r="G89" s="86" t="s">
        <v>763</v>
      </c>
      <c r="H89" s="86" t="s">
        <v>328</v>
      </c>
      <c r="I89" s="84" t="s">
        <v>57</v>
      </c>
      <c r="J89" s="52"/>
      <c r="K89" s="53"/>
      <c r="L89" s="53"/>
      <c r="M89" s="83"/>
      <c r="N89" s="83" t="s">
        <v>739</v>
      </c>
      <c r="O89" s="64" t="s">
        <v>764</v>
      </c>
      <c r="P89" s="51"/>
    </row>
    <row r="90" s="29" customFormat="1" ht="37" customHeight="1" spans="1:16">
      <c r="A90" s="52">
        <v>55</v>
      </c>
      <c r="B90" s="53" t="s">
        <v>14</v>
      </c>
      <c r="C90" s="83" t="s">
        <v>597</v>
      </c>
      <c r="D90" s="83" t="s">
        <v>765</v>
      </c>
      <c r="E90" s="52" t="s">
        <v>749</v>
      </c>
      <c r="F90" s="86">
        <v>46206</v>
      </c>
      <c r="G90" s="86" t="s">
        <v>757</v>
      </c>
      <c r="H90" s="86" t="s">
        <v>31</v>
      </c>
      <c r="I90" s="83" t="s">
        <v>32</v>
      </c>
      <c r="J90" s="52"/>
      <c r="K90" s="53"/>
      <c r="L90" s="53"/>
      <c r="M90" s="83"/>
      <c r="N90" s="83" t="s">
        <v>739</v>
      </c>
      <c r="O90" s="64" t="s">
        <v>751</v>
      </c>
      <c r="P90" s="51"/>
    </row>
    <row r="91" s="29" customFormat="1" ht="37" customHeight="1" spans="1:16">
      <c r="A91" s="52">
        <v>56</v>
      </c>
      <c r="B91" s="53" t="s">
        <v>14</v>
      </c>
      <c r="C91" s="83" t="s">
        <v>445</v>
      </c>
      <c r="D91" s="83" t="s">
        <v>766</v>
      </c>
      <c r="E91" s="52" t="s">
        <v>767</v>
      </c>
      <c r="F91" s="86">
        <v>46209</v>
      </c>
      <c r="G91" s="86" t="s">
        <v>768</v>
      </c>
      <c r="H91" s="86" t="s">
        <v>31</v>
      </c>
      <c r="I91" s="83" t="s">
        <v>48</v>
      </c>
      <c r="J91" s="52"/>
      <c r="K91" s="53"/>
      <c r="L91" s="53"/>
      <c r="M91" s="83"/>
      <c r="N91" s="83" t="s">
        <v>739</v>
      </c>
      <c r="O91" s="64" t="s">
        <v>769</v>
      </c>
      <c r="P91" s="51"/>
    </row>
    <row r="92" s="29" customFormat="1" ht="27" customHeight="1" spans="1:16">
      <c r="A92" s="52">
        <v>57</v>
      </c>
      <c r="B92" s="83" t="s">
        <v>14</v>
      </c>
      <c r="C92" s="83" t="s">
        <v>770</v>
      </c>
      <c r="D92" s="83" t="s">
        <v>771</v>
      </c>
      <c r="E92" s="83" t="s">
        <v>772</v>
      </c>
      <c r="F92" s="74">
        <v>46214</v>
      </c>
      <c r="G92" s="83" t="s">
        <v>773</v>
      </c>
      <c r="H92" s="86" t="s">
        <v>307</v>
      </c>
      <c r="I92" s="83"/>
      <c r="J92" s="83"/>
      <c r="K92" s="83"/>
      <c r="P92" s="51"/>
    </row>
    <row r="93" s="29" customFormat="1" ht="27" customHeight="1" spans="1:16">
      <c r="A93" s="52">
        <v>58</v>
      </c>
      <c r="B93" s="83" t="s">
        <v>14</v>
      </c>
      <c r="C93" s="83" t="s">
        <v>774</v>
      </c>
      <c r="D93" s="83" t="s">
        <v>775</v>
      </c>
      <c r="E93" s="83" t="s">
        <v>776</v>
      </c>
      <c r="F93" s="74">
        <v>46218</v>
      </c>
      <c r="G93" s="83" t="s">
        <v>777</v>
      </c>
      <c r="H93" s="86" t="s">
        <v>301</v>
      </c>
      <c r="I93" s="83"/>
      <c r="J93" s="83"/>
      <c r="K93" s="83"/>
      <c r="P93" s="51"/>
    </row>
    <row r="94" s="29" customFormat="1" ht="27" customHeight="1" spans="1:16">
      <c r="A94" s="52">
        <v>59</v>
      </c>
      <c r="B94" s="83" t="s">
        <v>14</v>
      </c>
      <c r="C94" s="83" t="s">
        <v>778</v>
      </c>
      <c r="D94" s="83" t="s">
        <v>779</v>
      </c>
      <c r="E94" s="83" t="s">
        <v>780</v>
      </c>
      <c r="F94" s="74">
        <v>46219</v>
      </c>
      <c r="G94" s="83" t="s">
        <v>781</v>
      </c>
      <c r="H94" s="86" t="s">
        <v>312</v>
      </c>
      <c r="I94" s="83"/>
      <c r="J94" s="83"/>
      <c r="K94" s="83"/>
      <c r="P94" s="51"/>
    </row>
    <row r="95" s="29" customFormat="1" ht="27" customHeight="1" spans="1:16">
      <c r="A95" s="52">
        <v>60</v>
      </c>
      <c r="B95" s="83" t="s">
        <v>782</v>
      </c>
      <c r="C95" s="83" t="s">
        <v>783</v>
      </c>
      <c r="D95" s="83" t="s">
        <v>784</v>
      </c>
      <c r="E95" s="83" t="s">
        <v>785</v>
      </c>
      <c r="F95" s="74">
        <v>46223</v>
      </c>
      <c r="G95" s="83" t="s">
        <v>777</v>
      </c>
      <c r="H95" s="86" t="s">
        <v>566</v>
      </c>
      <c r="I95" s="83"/>
      <c r="J95" s="83"/>
      <c r="K95" s="83"/>
      <c r="P95" s="51"/>
    </row>
  </sheetData>
  <dataValidations count="1">
    <dataValidation type="list" allowBlank="1" showInputMessage="1" showErrorMessage="1" sqref="H36:H95">
      <formula1>"临时用电,起重吊装,脚手架及平台,高处作业,孔洞临边防护,劳动防护,人员行为,环境保护,危化品管理,职业健康,物项存放,文明施工,机械器具,消防与动火,无证作业,其他,有限空间作业,射线探伤作业,班组建设,应急,交通运输,安全通道,作业交底,施工方案"</formula1>
    </dataValidation>
  </dataValidation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6"/>
  <sheetViews>
    <sheetView workbookViewId="0">
      <selection activeCell="L44" sqref="L44"/>
    </sheetView>
  </sheetViews>
  <sheetFormatPr defaultColWidth="9" defaultRowHeight="13.5" outlineLevelRow="5"/>
  <sheetData>
    <row r="1" s="29" customFormat="1" ht="32" customHeight="1" spans="1:14">
      <c r="A1" s="30" t="s">
        <v>0</v>
      </c>
      <c r="B1" s="30" t="s">
        <v>356</v>
      </c>
      <c r="C1" s="30" t="s">
        <v>4</v>
      </c>
      <c r="D1" s="30" t="s">
        <v>786</v>
      </c>
      <c r="E1" s="30" t="s">
        <v>787</v>
      </c>
      <c r="F1" s="30" t="s">
        <v>5</v>
      </c>
      <c r="G1" s="31" t="s">
        <v>788</v>
      </c>
      <c r="H1" s="31" t="s">
        <v>789</v>
      </c>
      <c r="I1" s="31" t="s">
        <v>790</v>
      </c>
      <c r="J1" s="31" t="s">
        <v>8</v>
      </c>
      <c r="K1" s="31" t="s">
        <v>9</v>
      </c>
      <c r="L1" s="31" t="s">
        <v>10</v>
      </c>
      <c r="M1" s="31" t="s">
        <v>791</v>
      </c>
      <c r="N1" s="31" t="s">
        <v>12</v>
      </c>
    </row>
    <row r="2" s="29" customFormat="1" ht="32" hidden="1" customHeight="1" spans="1:14">
      <c r="A2" s="32">
        <v>1</v>
      </c>
      <c r="B2" s="32" t="s">
        <v>792</v>
      </c>
      <c r="C2" s="32" t="s">
        <v>793</v>
      </c>
      <c r="D2" s="33" t="s">
        <v>14</v>
      </c>
      <c r="E2" s="34">
        <v>45740</v>
      </c>
      <c r="F2" s="34" t="s">
        <v>794</v>
      </c>
      <c r="G2" s="35" t="s">
        <v>795</v>
      </c>
      <c r="H2" s="36" t="s">
        <v>796</v>
      </c>
      <c r="I2" s="33" t="s">
        <v>797</v>
      </c>
      <c r="J2" s="37"/>
      <c r="K2" s="37"/>
      <c r="L2" s="37"/>
      <c r="M2" s="37"/>
      <c r="N2" s="37"/>
    </row>
    <row r="3" s="29" customFormat="1" ht="61" customHeight="1" spans="1:14">
      <c r="A3" s="32">
        <v>1</v>
      </c>
      <c r="B3" s="32" t="s">
        <v>798</v>
      </c>
      <c r="C3" s="32" t="s">
        <v>799</v>
      </c>
      <c r="D3" s="38" t="s">
        <v>14</v>
      </c>
      <c r="E3" s="39">
        <v>46032</v>
      </c>
      <c r="F3" s="39" t="s">
        <v>47</v>
      </c>
      <c r="G3" s="40" t="s">
        <v>800</v>
      </c>
      <c r="H3" s="41" t="s">
        <v>801</v>
      </c>
      <c r="I3" s="38" t="s">
        <v>797</v>
      </c>
      <c r="J3" s="42" t="s">
        <v>48</v>
      </c>
      <c r="K3" s="42" t="s">
        <v>188</v>
      </c>
      <c r="L3" s="42" t="s">
        <v>802</v>
      </c>
      <c r="M3" s="42" t="s">
        <v>19</v>
      </c>
      <c r="N3" s="42" t="s">
        <v>19</v>
      </c>
    </row>
    <row r="4" s="29" customFormat="1" ht="128" customHeight="1" spans="1:14">
      <c r="A4" s="32">
        <v>2</v>
      </c>
      <c r="B4" s="32" t="s">
        <v>803</v>
      </c>
      <c r="C4" s="32" t="s">
        <v>804</v>
      </c>
      <c r="D4" s="38" t="s">
        <v>14</v>
      </c>
      <c r="E4" s="39">
        <v>46099</v>
      </c>
      <c r="F4" s="39" t="s">
        <v>429</v>
      </c>
      <c r="G4" s="40" t="s">
        <v>805</v>
      </c>
      <c r="H4" s="41" t="s">
        <v>806</v>
      </c>
      <c r="I4" s="38" t="s">
        <v>797</v>
      </c>
      <c r="J4" s="42" t="s">
        <v>128</v>
      </c>
      <c r="K4" s="42" t="s">
        <v>260</v>
      </c>
      <c r="L4" s="42" t="s">
        <v>807</v>
      </c>
      <c r="M4" s="42" t="s">
        <v>19</v>
      </c>
      <c r="N4" s="42" t="s">
        <v>808</v>
      </c>
    </row>
    <row r="5" s="29" customFormat="1" ht="108" customHeight="1" spans="1:14">
      <c r="A5" s="32">
        <v>3</v>
      </c>
      <c r="B5" s="32" t="s">
        <v>809</v>
      </c>
      <c r="C5" s="43" t="s">
        <v>810</v>
      </c>
      <c r="D5" s="38" t="s">
        <v>14</v>
      </c>
      <c r="E5" s="44">
        <v>46196</v>
      </c>
      <c r="F5" s="39" t="s">
        <v>340</v>
      </c>
      <c r="G5" s="45" t="s">
        <v>811</v>
      </c>
      <c r="H5" s="46" t="s">
        <v>812</v>
      </c>
      <c r="I5" s="47" t="s">
        <v>512</v>
      </c>
      <c r="J5" s="42" t="s">
        <v>64</v>
      </c>
      <c r="K5" s="42" t="s">
        <v>214</v>
      </c>
      <c r="L5" s="42" t="s">
        <v>813</v>
      </c>
      <c r="M5" s="48" t="s">
        <v>343</v>
      </c>
      <c r="N5" s="48" t="s">
        <v>344</v>
      </c>
    </row>
    <row r="6" s="29" customFormat="1" ht="129" customHeight="1" spans="1:14">
      <c r="A6" s="32">
        <v>5</v>
      </c>
      <c r="B6" s="32" t="s">
        <v>814</v>
      </c>
      <c r="C6" s="43" t="s">
        <v>815</v>
      </c>
      <c r="D6" s="38" t="s">
        <v>14</v>
      </c>
      <c r="E6" s="44">
        <v>46198</v>
      </c>
      <c r="F6" s="39" t="s">
        <v>566</v>
      </c>
      <c r="G6" s="45" t="s">
        <v>816</v>
      </c>
      <c r="H6" s="46" t="s">
        <v>817</v>
      </c>
      <c r="I6" s="47" t="s">
        <v>512</v>
      </c>
      <c r="J6" s="42" t="s">
        <v>64</v>
      </c>
      <c r="K6" s="42" t="s">
        <v>65</v>
      </c>
      <c r="L6" s="44" t="s">
        <v>816</v>
      </c>
      <c r="M6" s="42" t="s">
        <v>114</v>
      </c>
      <c r="N6" s="42" t="s">
        <v>818</v>
      </c>
    </row>
  </sheetData>
  <dataValidations count="1">
    <dataValidation type="list" allowBlank="1" showInputMessage="1" showErrorMessage="1" sqref="F3:F6">
      <formula1>"临时用电,起重吊装,脚手架及平台,高处作业,孔洞临边防护,劳动防护,人员行为,环境保护,危化品管理,职业健康,物项存放,文明施工,机械器具,消防与动火,无证作业,其他,有限空间作业,射线探伤作业,班组建设,应急,交通运输,安全通道,作业交底,施工方案"</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1"/>
  <sheetViews>
    <sheetView tabSelected="1" topLeftCell="A21" workbookViewId="0">
      <selection activeCell="F22" sqref="F22"/>
    </sheetView>
  </sheetViews>
  <sheetFormatPr defaultColWidth="9" defaultRowHeight="13.5"/>
  <cols>
    <col min="1" max="1" width="3.875" customWidth="1"/>
    <col min="2" max="2" width="7.125" customWidth="1"/>
    <col min="3" max="3" width="30.375" customWidth="1"/>
    <col min="4" max="4" width="9" customWidth="1"/>
    <col min="5" max="6" width="11" customWidth="1"/>
    <col min="7" max="8" width="8.75" customWidth="1"/>
    <col min="9" max="9" width="6.25" customWidth="1"/>
    <col min="10" max="10" width="23.75" customWidth="1"/>
    <col min="11" max="11" width="7.875" customWidth="1"/>
    <col min="12" max="12" width="8.75" customWidth="1"/>
    <col min="13" max="13" width="7.125" customWidth="1"/>
    <col min="14" max="14" width="255.625" customWidth="1"/>
  </cols>
  <sheetData>
    <row r="1" ht="16.5" spans="1:14">
      <c r="A1" s="1" t="s">
        <v>0</v>
      </c>
      <c r="B1" s="2" t="s">
        <v>1</v>
      </c>
      <c r="C1" s="2" t="s">
        <v>3</v>
      </c>
      <c r="D1" s="2" t="s">
        <v>4</v>
      </c>
      <c r="E1" s="3" t="s">
        <v>6</v>
      </c>
      <c r="F1" s="2" t="s">
        <v>7</v>
      </c>
      <c r="G1" s="2" t="s">
        <v>5</v>
      </c>
      <c r="H1" s="2" t="s">
        <v>8</v>
      </c>
      <c r="I1" s="4" t="s">
        <v>9</v>
      </c>
      <c r="J1" s="4" t="s">
        <v>10</v>
      </c>
      <c r="K1" s="4" t="s">
        <v>11</v>
      </c>
      <c r="L1" s="2" t="s">
        <v>12</v>
      </c>
      <c r="M1" s="2" t="s">
        <v>13</v>
      </c>
      <c r="N1" s="5" t="s">
        <v>225</v>
      </c>
    </row>
    <row r="2" ht="82.5" spans="1:14">
      <c r="A2" s="6">
        <v>1</v>
      </c>
      <c r="B2" s="7" t="s">
        <v>819</v>
      </c>
      <c r="C2" s="8" t="s">
        <v>820</v>
      </c>
      <c r="D2" s="8" t="s">
        <v>821</v>
      </c>
      <c r="E2" s="9">
        <v>45741</v>
      </c>
      <c r="F2" s="9">
        <v>45762</v>
      </c>
      <c r="G2" s="9" t="s">
        <v>335</v>
      </c>
      <c r="H2" s="10" t="s">
        <v>78</v>
      </c>
      <c r="I2" s="10" t="s">
        <v>184</v>
      </c>
      <c r="J2" s="10" t="s">
        <v>466</v>
      </c>
      <c r="K2" s="10"/>
      <c r="L2" s="10" t="s">
        <v>822</v>
      </c>
      <c r="M2" s="11" t="s">
        <v>547</v>
      </c>
      <c r="N2" s="12" t="s">
        <v>463</v>
      </c>
    </row>
    <row r="3" ht="115.5" spans="1:14">
      <c r="A3" s="6">
        <v>1</v>
      </c>
      <c r="B3" s="10" t="s">
        <v>823</v>
      </c>
      <c r="C3" s="8" t="s">
        <v>824</v>
      </c>
      <c r="D3" s="8" t="s">
        <v>825</v>
      </c>
      <c r="E3" s="9">
        <v>45761</v>
      </c>
      <c r="F3" s="9">
        <v>45777</v>
      </c>
      <c r="G3" s="9"/>
      <c r="H3" s="10" t="s">
        <v>122</v>
      </c>
      <c r="I3" s="10" t="s">
        <v>123</v>
      </c>
      <c r="J3" s="10" t="s">
        <v>122</v>
      </c>
      <c r="K3" s="10"/>
      <c r="L3" s="11" t="s">
        <v>826</v>
      </c>
      <c r="M3" s="11" t="s">
        <v>547</v>
      </c>
      <c r="N3" s="12" t="s">
        <v>463</v>
      </c>
    </row>
    <row r="4" ht="115.5" spans="1:14">
      <c r="A4" s="6">
        <v>2</v>
      </c>
      <c r="B4" s="10" t="s">
        <v>823</v>
      </c>
      <c r="C4" s="8" t="s">
        <v>827</v>
      </c>
      <c r="D4" s="8" t="s">
        <v>828</v>
      </c>
      <c r="E4" s="9">
        <v>45762</v>
      </c>
      <c r="F4" s="9">
        <v>45792</v>
      </c>
      <c r="G4" s="9"/>
      <c r="H4" s="10"/>
      <c r="I4" s="10"/>
      <c r="J4" s="10"/>
      <c r="K4" s="10"/>
      <c r="L4" s="11"/>
      <c r="M4" s="11" t="s">
        <v>547</v>
      </c>
      <c r="N4" s="12"/>
    </row>
    <row r="5" ht="82.5" spans="1:14">
      <c r="A5" s="6">
        <v>3</v>
      </c>
      <c r="B5" s="10" t="s">
        <v>823</v>
      </c>
      <c r="C5" s="13" t="s">
        <v>829</v>
      </c>
      <c r="D5" s="8" t="s">
        <v>830</v>
      </c>
      <c r="E5" s="9">
        <v>45772</v>
      </c>
      <c r="F5" s="9">
        <v>45799</v>
      </c>
      <c r="G5" s="9"/>
      <c r="H5" s="10" t="s">
        <v>78</v>
      </c>
      <c r="I5" s="10" t="s">
        <v>184</v>
      </c>
      <c r="J5" s="10" t="s">
        <v>466</v>
      </c>
      <c r="K5" s="10"/>
      <c r="L5" s="10" t="s">
        <v>822</v>
      </c>
      <c r="M5" s="10" t="s">
        <v>547</v>
      </c>
      <c r="N5" s="12" t="s">
        <v>463</v>
      </c>
    </row>
    <row r="6" ht="99" spans="1:14">
      <c r="A6" s="6">
        <v>4</v>
      </c>
      <c r="B6" s="10" t="s">
        <v>823</v>
      </c>
      <c r="C6" s="13" t="s">
        <v>831</v>
      </c>
      <c r="D6" s="8" t="s">
        <v>832</v>
      </c>
      <c r="E6" s="9">
        <v>45814</v>
      </c>
      <c r="F6" s="9">
        <v>45833</v>
      </c>
      <c r="G6" s="9"/>
      <c r="H6" s="10" t="s">
        <v>48</v>
      </c>
      <c r="I6" s="10" t="s">
        <v>188</v>
      </c>
      <c r="J6" s="10" t="s">
        <v>482</v>
      </c>
      <c r="K6" s="10"/>
      <c r="L6" s="10"/>
      <c r="M6" s="11" t="s">
        <v>547</v>
      </c>
      <c r="N6" s="14"/>
    </row>
    <row r="7" ht="99" spans="1:14">
      <c r="A7" s="6">
        <v>5</v>
      </c>
      <c r="B7" s="10" t="s">
        <v>823</v>
      </c>
      <c r="C7" s="8" t="s">
        <v>833</v>
      </c>
      <c r="D7" s="8" t="s">
        <v>834</v>
      </c>
      <c r="E7" s="9">
        <v>45824</v>
      </c>
      <c r="F7" s="9">
        <v>45824</v>
      </c>
      <c r="G7" s="9"/>
      <c r="H7" s="10"/>
      <c r="I7" s="10"/>
      <c r="J7" s="10"/>
      <c r="K7" s="10"/>
      <c r="L7" s="10"/>
      <c r="M7" s="10" t="s">
        <v>547</v>
      </c>
      <c r="N7" s="12" t="s">
        <v>463</v>
      </c>
    </row>
    <row r="8" ht="115.5" spans="1:14">
      <c r="A8" s="6">
        <v>7</v>
      </c>
      <c r="B8" s="7" t="s">
        <v>819</v>
      </c>
      <c r="C8" s="8" t="s">
        <v>835</v>
      </c>
      <c r="D8" s="8" t="s">
        <v>836</v>
      </c>
      <c r="E8" s="9">
        <v>45870</v>
      </c>
      <c r="F8" s="9">
        <v>45884</v>
      </c>
      <c r="G8" s="9" t="s">
        <v>31</v>
      </c>
      <c r="H8" s="10" t="s">
        <v>78</v>
      </c>
      <c r="I8" s="10" t="s">
        <v>837</v>
      </c>
      <c r="J8" s="10" t="s">
        <v>19</v>
      </c>
      <c r="K8" s="10"/>
      <c r="L8" s="10" t="s">
        <v>822</v>
      </c>
      <c r="M8" s="11" t="s">
        <v>547</v>
      </c>
      <c r="N8" s="12" t="s">
        <v>463</v>
      </c>
    </row>
    <row r="9" ht="99" spans="1:14">
      <c r="A9" s="6">
        <v>6</v>
      </c>
      <c r="B9" s="10" t="s">
        <v>823</v>
      </c>
      <c r="C9" s="8" t="s">
        <v>838</v>
      </c>
      <c r="D9" s="8" t="s">
        <v>839</v>
      </c>
      <c r="E9" s="9">
        <v>45915</v>
      </c>
      <c r="F9" s="9">
        <v>45940</v>
      </c>
      <c r="G9" s="9"/>
      <c r="H9" s="10" t="s">
        <v>57</v>
      </c>
      <c r="I9" s="10" t="s">
        <v>184</v>
      </c>
      <c r="J9" s="10"/>
      <c r="K9" s="10"/>
      <c r="L9" s="10"/>
      <c r="M9" s="11" t="s">
        <v>547</v>
      </c>
      <c r="N9" s="12" t="s">
        <v>463</v>
      </c>
    </row>
    <row r="10" ht="132" spans="1:14">
      <c r="A10" s="6">
        <v>7</v>
      </c>
      <c r="B10" s="10" t="s">
        <v>823</v>
      </c>
      <c r="C10" s="8" t="s">
        <v>840</v>
      </c>
      <c r="D10" s="8" t="s">
        <v>841</v>
      </c>
      <c r="E10" s="9">
        <v>45931</v>
      </c>
      <c r="F10" s="9">
        <v>45960</v>
      </c>
      <c r="G10" s="9"/>
      <c r="H10" s="10" t="s">
        <v>57</v>
      </c>
      <c r="I10" s="10" t="s">
        <v>184</v>
      </c>
      <c r="J10" s="10"/>
      <c r="K10" s="10"/>
      <c r="L10" s="10"/>
      <c r="M10" s="11" t="s">
        <v>547</v>
      </c>
      <c r="N10" s="12" t="s">
        <v>463</v>
      </c>
    </row>
    <row r="11" ht="115.5" spans="1:14">
      <c r="A11" s="6">
        <v>8</v>
      </c>
      <c r="B11" s="10" t="s">
        <v>823</v>
      </c>
      <c r="C11" s="8" t="s">
        <v>842</v>
      </c>
      <c r="D11" s="8" t="s">
        <v>843</v>
      </c>
      <c r="E11" s="9">
        <v>45947</v>
      </c>
      <c r="F11" s="9">
        <v>45976</v>
      </c>
      <c r="G11" s="9"/>
      <c r="H11" s="10" t="s">
        <v>48</v>
      </c>
      <c r="I11" s="10" t="s">
        <v>188</v>
      </c>
      <c r="J11" s="10"/>
      <c r="K11" s="10"/>
      <c r="L11" s="10"/>
      <c r="M11" s="11" t="s">
        <v>547</v>
      </c>
      <c r="N11" s="12" t="s">
        <v>463</v>
      </c>
    </row>
    <row r="12" ht="99" spans="1:14">
      <c r="A12" s="6">
        <v>9</v>
      </c>
      <c r="B12" s="10" t="s">
        <v>823</v>
      </c>
      <c r="C12" s="8" t="s">
        <v>844</v>
      </c>
      <c r="D12" s="8" t="s">
        <v>845</v>
      </c>
      <c r="E12" s="9">
        <v>45962</v>
      </c>
      <c r="F12" s="9">
        <v>45986</v>
      </c>
      <c r="G12" s="9"/>
      <c r="H12" s="10" t="s">
        <v>48</v>
      </c>
      <c r="I12" s="10" t="s">
        <v>188</v>
      </c>
      <c r="J12" s="15"/>
      <c r="K12" s="16"/>
      <c r="L12" s="16"/>
      <c r="M12" s="11" t="s">
        <v>547</v>
      </c>
      <c r="N12" s="12" t="s">
        <v>463</v>
      </c>
    </row>
    <row r="13" ht="99" spans="1:14">
      <c r="A13" s="6">
        <v>10</v>
      </c>
      <c r="B13" s="10" t="s">
        <v>823</v>
      </c>
      <c r="C13" s="8" t="s">
        <v>846</v>
      </c>
      <c r="D13" s="17" t="s">
        <v>847</v>
      </c>
      <c r="E13" s="9">
        <v>45986</v>
      </c>
      <c r="F13" s="9">
        <v>46016</v>
      </c>
      <c r="G13" s="9"/>
      <c r="H13" s="18" t="s">
        <v>57</v>
      </c>
      <c r="I13" s="18" t="s">
        <v>184</v>
      </c>
      <c r="J13" s="19"/>
      <c r="K13" s="20"/>
      <c r="L13" s="20"/>
      <c r="M13" s="20"/>
      <c r="N13" s="21"/>
    </row>
    <row r="14" ht="115.5" spans="1:14">
      <c r="A14" s="6">
        <v>11</v>
      </c>
      <c r="B14" s="10" t="s">
        <v>823</v>
      </c>
      <c r="C14" s="8" t="s">
        <v>281</v>
      </c>
      <c r="D14" s="17" t="s">
        <v>848</v>
      </c>
      <c r="E14" s="9">
        <v>45996</v>
      </c>
      <c r="F14" s="9">
        <v>46027</v>
      </c>
      <c r="G14" s="9"/>
      <c r="H14" s="18" t="s">
        <v>57</v>
      </c>
      <c r="I14" s="18" t="s">
        <v>184</v>
      </c>
      <c r="J14" s="19"/>
      <c r="K14" s="16"/>
      <c r="L14" s="10" t="s">
        <v>822</v>
      </c>
      <c r="M14" s="20"/>
      <c r="N14" s="21"/>
    </row>
    <row r="15" ht="115.5" spans="1:14">
      <c r="A15" s="6">
        <v>12</v>
      </c>
      <c r="B15" s="10" t="s">
        <v>823</v>
      </c>
      <c r="C15" s="8" t="s">
        <v>849</v>
      </c>
      <c r="D15" s="17" t="s">
        <v>850</v>
      </c>
      <c r="E15" s="9">
        <v>46010</v>
      </c>
      <c r="F15" s="9">
        <v>46039</v>
      </c>
      <c r="G15" s="9"/>
      <c r="H15" s="18"/>
      <c r="I15" s="18"/>
      <c r="J15" s="19"/>
      <c r="K15" s="16"/>
      <c r="L15" s="10"/>
      <c r="M15" s="20"/>
      <c r="N15" s="21"/>
    </row>
    <row r="16" ht="99" spans="1:14">
      <c r="A16" s="6">
        <v>13</v>
      </c>
      <c r="B16" s="10" t="s">
        <v>823</v>
      </c>
      <c r="C16" s="8" t="s">
        <v>851</v>
      </c>
      <c r="D16" s="17" t="s">
        <v>852</v>
      </c>
      <c r="E16" s="9">
        <v>46017</v>
      </c>
      <c r="F16" s="9">
        <v>46046</v>
      </c>
      <c r="G16" s="9"/>
      <c r="H16" s="18" t="s">
        <v>57</v>
      </c>
      <c r="I16" s="18" t="s">
        <v>184</v>
      </c>
      <c r="J16" s="19"/>
      <c r="K16" s="16"/>
      <c r="L16" s="10"/>
      <c r="M16" s="20"/>
      <c r="N16" s="21"/>
    </row>
    <row r="17" ht="148.5" spans="1:14">
      <c r="A17" s="6">
        <v>14</v>
      </c>
      <c r="B17" s="10" t="s">
        <v>823</v>
      </c>
      <c r="C17" s="8" t="s">
        <v>853</v>
      </c>
      <c r="D17" s="8" t="s">
        <v>854</v>
      </c>
      <c r="E17" s="9">
        <v>46021</v>
      </c>
      <c r="F17" s="9">
        <v>46052</v>
      </c>
      <c r="G17" s="9"/>
      <c r="H17" s="18"/>
      <c r="I17" s="22"/>
      <c r="J17" s="23"/>
      <c r="K17" s="24"/>
      <c r="L17" s="22"/>
      <c r="M17" s="24"/>
      <c r="N17" s="25"/>
    </row>
    <row r="18" ht="99" spans="1:14">
      <c r="A18" s="6">
        <v>15</v>
      </c>
      <c r="B18" s="10" t="s">
        <v>823</v>
      </c>
      <c r="C18" s="8" t="s">
        <v>855</v>
      </c>
      <c r="D18" s="8" t="s">
        <v>856</v>
      </c>
      <c r="E18" s="9">
        <v>46033</v>
      </c>
      <c r="F18" s="9" t="s">
        <v>857</v>
      </c>
      <c r="G18" s="9" t="s">
        <v>301</v>
      </c>
      <c r="H18" s="18" t="s">
        <v>48</v>
      </c>
      <c r="I18" s="10" t="s">
        <v>188</v>
      </c>
      <c r="J18" s="26" t="s">
        <v>858</v>
      </c>
      <c r="K18" s="27" t="s">
        <v>19</v>
      </c>
      <c r="L18" s="27" t="s">
        <v>19</v>
      </c>
      <c r="M18" s="16"/>
      <c r="N18" s="16" t="s">
        <v>859</v>
      </c>
    </row>
    <row r="19" ht="409.5" spans="1:14">
      <c r="A19" s="6">
        <v>16</v>
      </c>
      <c r="B19" s="10" t="s">
        <v>823</v>
      </c>
      <c r="C19" s="8" t="s">
        <v>860</v>
      </c>
      <c r="D19" s="8" t="s">
        <v>861</v>
      </c>
      <c r="E19" s="9">
        <v>46036</v>
      </c>
      <c r="F19" s="9" t="s">
        <v>360</v>
      </c>
      <c r="G19" s="9" t="s">
        <v>47</v>
      </c>
      <c r="H19" s="18" t="s">
        <v>122</v>
      </c>
      <c r="I19" s="10" t="s">
        <v>862</v>
      </c>
      <c r="J19" s="26" t="s">
        <v>863</v>
      </c>
      <c r="K19" s="27" t="s">
        <v>19</v>
      </c>
      <c r="L19" s="27" t="s">
        <v>19</v>
      </c>
      <c r="M19" s="8"/>
      <c r="N19" s="8" t="s">
        <v>864</v>
      </c>
    </row>
    <row r="20" ht="409.5" spans="1:14">
      <c r="A20" s="6">
        <v>17</v>
      </c>
      <c r="B20" s="10" t="s">
        <v>823</v>
      </c>
      <c r="C20" s="8" t="s">
        <v>865</v>
      </c>
      <c r="D20" s="8" t="s">
        <v>866</v>
      </c>
      <c r="E20" s="9">
        <v>46057</v>
      </c>
      <c r="F20" s="9" t="s">
        <v>565</v>
      </c>
      <c r="G20" s="9" t="s">
        <v>335</v>
      </c>
      <c r="H20" s="18" t="s">
        <v>57</v>
      </c>
      <c r="I20" s="10" t="s">
        <v>184</v>
      </c>
      <c r="J20" s="26" t="s">
        <v>867</v>
      </c>
      <c r="K20" s="27" t="s">
        <v>19</v>
      </c>
      <c r="L20" s="27" t="s">
        <v>19</v>
      </c>
      <c r="M20" s="8"/>
      <c r="N20" s="8" t="s">
        <v>868</v>
      </c>
    </row>
    <row r="21" ht="409.5" spans="1:14">
      <c r="A21" s="6">
        <v>18</v>
      </c>
      <c r="B21" s="10" t="s">
        <v>823</v>
      </c>
      <c r="C21" s="8" t="s">
        <v>869</v>
      </c>
      <c r="D21" s="8" t="s">
        <v>870</v>
      </c>
      <c r="E21" s="9">
        <v>46083</v>
      </c>
      <c r="F21" s="10" t="s">
        <v>871</v>
      </c>
      <c r="G21" s="9" t="s">
        <v>555</v>
      </c>
      <c r="H21" s="18" t="s">
        <v>57</v>
      </c>
      <c r="I21" s="10" t="s">
        <v>184</v>
      </c>
      <c r="J21" s="26" t="s">
        <v>872</v>
      </c>
      <c r="K21" s="27" t="s">
        <v>19</v>
      </c>
      <c r="L21" s="27" t="s">
        <v>19</v>
      </c>
      <c r="M21" s="8"/>
      <c r="N21" s="8" t="s">
        <v>873</v>
      </c>
    </row>
    <row r="22" ht="409.5" spans="1:14">
      <c r="A22" s="6">
        <v>19</v>
      </c>
      <c r="B22" s="10" t="s">
        <v>823</v>
      </c>
      <c r="C22" s="8" t="s">
        <v>874</v>
      </c>
      <c r="D22" s="8" t="s">
        <v>875</v>
      </c>
      <c r="E22" s="9">
        <v>46108</v>
      </c>
      <c r="F22" s="10" t="s">
        <v>381</v>
      </c>
      <c r="G22" s="9" t="s">
        <v>47</v>
      </c>
      <c r="H22" s="18" t="s">
        <v>64</v>
      </c>
      <c r="I22" s="10" t="s">
        <v>65</v>
      </c>
      <c r="J22" s="26" t="s">
        <v>876</v>
      </c>
      <c r="K22" s="27" t="s">
        <v>19</v>
      </c>
      <c r="L22" s="27" t="s">
        <v>19</v>
      </c>
      <c r="M22" s="8"/>
      <c r="N22" s="8" t="s">
        <v>877</v>
      </c>
    </row>
    <row r="23" ht="115.5" spans="1:14">
      <c r="A23" s="6">
        <v>20</v>
      </c>
      <c r="B23" s="10" t="s">
        <v>823</v>
      </c>
      <c r="C23" s="8" t="s">
        <v>878</v>
      </c>
      <c r="D23" s="8" t="s">
        <v>879</v>
      </c>
      <c r="E23" s="9">
        <v>46122</v>
      </c>
      <c r="F23" s="9">
        <v>46151</v>
      </c>
      <c r="G23" s="9" t="s">
        <v>63</v>
      </c>
      <c r="H23" s="18" t="s">
        <v>48</v>
      </c>
      <c r="I23" s="10" t="s">
        <v>188</v>
      </c>
      <c r="J23" s="26" t="s">
        <v>880</v>
      </c>
      <c r="K23" s="27" t="s">
        <v>19</v>
      </c>
      <c r="L23" s="27" t="s">
        <v>19</v>
      </c>
      <c r="M23" s="16"/>
      <c r="N23" s="16" t="s">
        <v>881</v>
      </c>
    </row>
    <row r="24" ht="409.5" spans="1:14">
      <c r="A24" s="6">
        <v>21</v>
      </c>
      <c r="B24" s="10" t="s">
        <v>823</v>
      </c>
      <c r="C24" s="8" t="s">
        <v>882</v>
      </c>
      <c r="D24" s="8" t="s">
        <v>883</v>
      </c>
      <c r="E24" s="9">
        <v>46128</v>
      </c>
      <c r="F24" s="9">
        <v>46164</v>
      </c>
      <c r="G24" s="9" t="s">
        <v>429</v>
      </c>
      <c r="H24" s="18" t="s">
        <v>146</v>
      </c>
      <c r="I24" s="10" t="s">
        <v>533</v>
      </c>
      <c r="J24" s="26" t="s">
        <v>884</v>
      </c>
      <c r="K24" s="27" t="s">
        <v>19</v>
      </c>
      <c r="L24" s="27" t="s">
        <v>19</v>
      </c>
      <c r="M24" s="16"/>
      <c r="N24" s="28" t="s">
        <v>885</v>
      </c>
    </row>
    <row r="25" ht="185.25" spans="1:14">
      <c r="A25" s="6">
        <v>22</v>
      </c>
      <c r="B25" s="10" t="s">
        <v>823</v>
      </c>
      <c r="C25" s="8" t="s">
        <v>886</v>
      </c>
      <c r="D25" s="8" t="s">
        <v>887</v>
      </c>
      <c r="E25" s="9">
        <v>46141</v>
      </c>
      <c r="F25" s="9">
        <v>46170</v>
      </c>
      <c r="G25" s="9" t="s">
        <v>301</v>
      </c>
      <c r="H25" s="18" t="s">
        <v>94</v>
      </c>
      <c r="I25" s="10"/>
      <c r="J25" s="26"/>
      <c r="K25" s="27"/>
      <c r="L25" s="27"/>
      <c r="M25" s="16"/>
      <c r="N25" s="28" t="s">
        <v>888</v>
      </c>
    </row>
    <row r="26" ht="399" spans="1:14">
      <c r="A26" s="6">
        <v>23</v>
      </c>
      <c r="B26" s="10" t="s">
        <v>823</v>
      </c>
      <c r="C26" s="8" t="s">
        <v>889</v>
      </c>
      <c r="D26" s="8" t="s">
        <v>890</v>
      </c>
      <c r="E26" s="9">
        <v>46149</v>
      </c>
      <c r="F26" s="9">
        <v>46165</v>
      </c>
      <c r="G26" s="9" t="s">
        <v>56</v>
      </c>
      <c r="H26" s="18" t="s">
        <v>64</v>
      </c>
      <c r="I26" s="10" t="s">
        <v>65</v>
      </c>
      <c r="J26" s="26"/>
      <c r="K26" s="27"/>
      <c r="L26" s="27"/>
      <c r="M26" s="16"/>
      <c r="N26" s="28" t="s">
        <v>891</v>
      </c>
    </row>
    <row r="27" ht="82.5" spans="1:14">
      <c r="A27" s="6">
        <v>24</v>
      </c>
      <c r="B27" s="10" t="s">
        <v>823</v>
      </c>
      <c r="C27" s="8" t="s">
        <v>892</v>
      </c>
      <c r="D27" s="8" t="s">
        <v>893</v>
      </c>
      <c r="E27" s="9">
        <v>46154</v>
      </c>
      <c r="F27" s="9">
        <v>46184</v>
      </c>
      <c r="G27" s="9" t="s">
        <v>47</v>
      </c>
      <c r="H27" s="18" t="s">
        <v>48</v>
      </c>
      <c r="I27" s="10" t="s">
        <v>188</v>
      </c>
      <c r="J27" s="26" t="s">
        <v>894</v>
      </c>
      <c r="K27" s="27" t="s">
        <v>19</v>
      </c>
      <c r="L27" s="27" t="s">
        <v>19</v>
      </c>
      <c r="M27" s="16"/>
      <c r="N27" s="16" t="s">
        <v>895</v>
      </c>
    </row>
    <row r="28" ht="409.5" spans="1:14">
      <c r="A28" s="6">
        <v>25</v>
      </c>
      <c r="B28" s="10" t="s">
        <v>823</v>
      </c>
      <c r="C28" s="8" t="s">
        <v>896</v>
      </c>
      <c r="D28" s="8" t="s">
        <v>897</v>
      </c>
      <c r="E28" s="9">
        <v>46163</v>
      </c>
      <c r="F28" s="9" t="s">
        <v>898</v>
      </c>
      <c r="G28" s="9" t="s">
        <v>307</v>
      </c>
      <c r="H28" s="18" t="s">
        <v>64</v>
      </c>
      <c r="I28" s="10" t="s">
        <v>65</v>
      </c>
      <c r="J28" s="26"/>
      <c r="K28" s="27"/>
      <c r="L28" s="27"/>
      <c r="M28" s="16"/>
      <c r="N28" s="28" t="s">
        <v>899</v>
      </c>
    </row>
    <row r="29" ht="384.75" spans="1:14">
      <c r="A29" s="6">
        <v>26</v>
      </c>
      <c r="B29" s="10" t="s">
        <v>823</v>
      </c>
      <c r="C29" s="8" t="s">
        <v>900</v>
      </c>
      <c r="D29" s="8" t="s">
        <v>901</v>
      </c>
      <c r="E29" s="9">
        <v>46175</v>
      </c>
      <c r="F29" s="9" t="s">
        <v>902</v>
      </c>
      <c r="G29" s="9" t="s">
        <v>63</v>
      </c>
      <c r="H29" s="18" t="s">
        <v>122</v>
      </c>
      <c r="I29" s="10" t="s">
        <v>123</v>
      </c>
      <c r="J29" s="26"/>
      <c r="K29" s="27"/>
      <c r="L29" s="27"/>
      <c r="M29" s="16"/>
      <c r="N29" s="28" t="s">
        <v>903</v>
      </c>
    </row>
    <row r="30" ht="199.5" spans="1:14">
      <c r="A30" s="6">
        <v>27</v>
      </c>
      <c r="B30" s="10" t="s">
        <v>823</v>
      </c>
      <c r="C30" s="8" t="s">
        <v>904</v>
      </c>
      <c r="D30" s="8" t="s">
        <v>905</v>
      </c>
      <c r="E30" s="9">
        <v>46185</v>
      </c>
      <c r="F30" s="9" t="s">
        <v>906</v>
      </c>
      <c r="G30" s="9" t="s">
        <v>429</v>
      </c>
      <c r="H30" s="18" t="s">
        <v>122</v>
      </c>
      <c r="I30" s="10" t="s">
        <v>123</v>
      </c>
      <c r="J30" s="26" t="s">
        <v>122</v>
      </c>
      <c r="K30" s="27"/>
      <c r="L30" s="27"/>
      <c r="M30" s="16"/>
      <c r="N30" s="28" t="s">
        <v>907</v>
      </c>
    </row>
    <row r="31" ht="199.5" spans="1:14">
      <c r="A31" s="6">
        <v>28</v>
      </c>
      <c r="B31" s="10" t="s">
        <v>823</v>
      </c>
      <c r="C31" s="8" t="s">
        <v>908</v>
      </c>
      <c r="D31" s="8" t="s">
        <v>909</v>
      </c>
      <c r="E31" s="9">
        <v>46190</v>
      </c>
      <c r="F31" s="9">
        <v>46213</v>
      </c>
      <c r="G31" s="9" t="s">
        <v>335</v>
      </c>
      <c r="H31" s="18" t="s">
        <v>94</v>
      </c>
      <c r="I31" s="10" t="s">
        <v>910</v>
      </c>
      <c r="J31" s="26"/>
      <c r="K31" s="27"/>
      <c r="L31" s="27"/>
      <c r="M31" s="16"/>
      <c r="N31" s="28" t="s">
        <v>911</v>
      </c>
    </row>
  </sheetData>
  <dataValidations count="1">
    <dataValidation type="list" allowBlank="1" showInputMessage="1" showErrorMessage="1" sqref="G2:G31">
      <formula1>"临时用电,起重吊装,脚手架及平台,高处作业,孔洞临边防护,劳动防护,人员行为,环境保护,危化品管理,职业健康,物项存放,文明施工,机械器具,消防与动火,无证作业,其他,有限空间作业,射线探伤作业,班组建设,应急,交通运输,安全通道,作业交底,施工方案"</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8</vt:i4>
      </vt:variant>
    </vt:vector>
  </HeadingPairs>
  <TitlesOfParts>
    <vt:vector size="8" baseType="lpstr">
      <vt:lpstr>工程公司挂牌督办单</vt:lpstr>
      <vt:lpstr>红黄牌</vt:lpstr>
      <vt:lpstr>工程公司管理约谈</vt:lpstr>
      <vt:lpstr>工程公司处理通报</vt:lpstr>
      <vt:lpstr>工程公司通报批评</vt:lpstr>
      <vt:lpstr>工程公司整改单</vt:lpstr>
      <vt:lpstr>工程公司停工令</vt:lpstr>
      <vt:lpstr>监理业主整改通知单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邓宇聪</dc:creator>
  <cp:lastModifiedBy>草生</cp:lastModifiedBy>
  <dcterms:created xsi:type="dcterms:W3CDTF">2023-05-12T11:15:00Z</dcterms:created>
  <dcterms:modified xsi:type="dcterms:W3CDTF">2026-08-01T02:24:58Z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1186E3722E944FD08292690FD6B44CFD_12</vt:lpwstr>
  </property>
  <property fmtid="{D5CDD505-2E9C-101B-9397-08002B2CF9AE}" pid="4" name="CalculationRule">
    <vt:i4>0</vt:i4>
  </property>
</Properties>
</file>